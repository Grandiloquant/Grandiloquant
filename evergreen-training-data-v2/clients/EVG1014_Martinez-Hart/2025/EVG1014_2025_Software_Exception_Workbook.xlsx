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EVG1014 - Sofia Martinez &amp; Liam Hart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EVG1014-SX1</t>
        </is>
      </c>
      <c r="B4" s="100" t="inlineStr">
        <is>
          <t>8. Est. Tax Penalty (2210)</t>
        </is>
      </c>
      <c r="C4" s="100" t="inlineStr">
        <is>
          <t>Form 2210 - joint 2025 return after two separate 2024 returns; PY tax rolled from one spouse</t>
        </is>
      </c>
      <c r="D4" s="100" t="inlineStr">
        <is>
          <t>Same - prior-year tax for the 2210 safe harbor comes from the data entered/rolled; ProConnect cannot know a spouse filed elsewhere.</t>
        </is>
      </c>
      <c r="E4" s="100" t="inlineStr">
        <is>
          <t>Payments, Penalties &amp; Extensions &gt; 2210: 2024 tax = 8,910 (combined), 2024 AGI = 105,285 (screen per current release - verify).</t>
        </is>
      </c>
      <c r="F4" s="100" t="inlineStr"/>
      <c r="G4" s="100" t="inlineStr">
        <is>
          <t>None</t>
        </is>
      </c>
      <c r="H4" s="100" t="n">
        <v>0</v>
      </c>
    </row>
    <row r="5">
      <c r="A5" s="100" t="inlineStr">
        <is>
          <t>EVG1014-SX2</t>
        </is>
      </c>
      <c r="B5" s="100" t="inlineStr">
        <is>
          <t>2. Diagnostics Log</t>
        </is>
      </c>
      <c r="C5" s="100" t="inlineStr">
        <is>
          <t>Primary name 'Sofia Hart' - name control does not match SSA (IND-031-04)</t>
        </is>
      </c>
      <c r="D5" s="100" t="inlineStr">
        <is>
          <t>Same - name control is derived from the name entered; no SSA validation before transmission.</t>
        </is>
      </c>
      <c r="E5" s="100" t="inlineStr">
        <is>
          <t>General &gt; Taxpayer/Spouse information: taxpayer last name = Martinez; retransmit (name control override field, if used, per current release - verify).</t>
        </is>
      </c>
      <c r="F5" s="100" t="inlineStr"/>
      <c r="G5" s="100" t="inlineStr">
        <is>
          <t>IRS reject IND-031-04 on 04/08/2026; accepted after correction 04/10/2026</t>
        </is>
      </c>
      <c r="H5" s="100" t="n"/>
    </row>
    <row r="6">
      <c r="A6" s="100" t="inlineStr">
        <is>
          <t>EVG1014-SX3</t>
        </is>
      </c>
      <c r="B6" s="100" t="inlineStr">
        <is>
          <t>2. Diagnostics Log</t>
        </is>
      </c>
      <c r="C6" s="100" t="inlineStr">
        <is>
          <t>Stripe 1099-K includes the Arbor Brewing payments already on a 1099-NEC</t>
        </is>
      </c>
      <c r="D6" s="100" t="inlineStr">
        <is>
          <t>Same - 1099-NEC and 1099-K amounts linked to Schedule C both flow to gross receipts.</t>
        </is>
      </c>
      <c r="E6" s="100" t="inlineStr">
        <is>
          <t>Business Income (Sch C) &gt; Income: enter unique receipts $30,750 (do not link both the Arbor 1099-NEC and the full 1099-K); keep the reconciliation (screen/field per current release - verify).</t>
        </is>
      </c>
      <c r="F6" s="100" t="inlineStr"/>
      <c r="G6" s="100" t="inlineStr">
        <is>
          <t>None</t>
        </is>
      </c>
      <c r="H6" s="100" t="n">
        <v>30750</v>
      </c>
    </row>
    <row r="7">
      <c r="A7" s="100" t="inlineStr">
        <is>
          <t>EVG1014-SX4</t>
        </is>
      </c>
      <c r="B7" s="100" t="inlineStr">
        <is>
          <t>2. Diagnostics Log</t>
        </is>
      </c>
      <c r="C7" s="100" t="inlineStr">
        <is>
          <t>Form 8829 for a part-year office in a rented apartment</t>
        </is>
      </c>
      <c r="D7" s="100" t="inlineStr">
        <is>
          <t>Same - the home-office percentage is applied to the expense amounts entered; part-year proration is manual.</t>
        </is>
      </c>
      <c r="E7" s="100" t="inlineStr">
        <is>
          <t>Business Income &gt; Business Use of Home (8829): enter only April-December expenses (screen/field per current release - verify).</t>
        </is>
      </c>
      <c r="F7" s="100" t="inlineStr"/>
      <c r="G7" s="100" t="inlineStr">
        <is>
          <t>None</t>
        </is>
      </c>
      <c r="H7" s="100" t="n">
        <v>3206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EVG1014</t>
        </is>
      </c>
      <c r="B14" s="57" t="n">
        <v>2025</v>
      </c>
      <c r="C14" s="57" t="inlineStr">
        <is>
          <t>none fired</t>
        </is>
      </c>
      <c r="D14" s="57" t="inlineStr">
        <is>
          <t>[No diagnostic - logged by preparer] Form 2210 - joint 2025 return after two separate 2024 returns; PY tax rolled from one spouse</t>
        </is>
      </c>
      <c r="E14" s="57" t="inlineStr">
        <is>
          <t>Est. Tax Penalty</t>
        </is>
      </c>
      <c r="F14" s="57" t="inlineStr">
        <is>
          <t>Yes</t>
        </is>
      </c>
      <c r="G14" s="57" t="inlineStr">
        <is>
          <t>Penalties and Interest / Form 2210 input: prior-year tax = $8,910 (Liam $5,963 + Sofia $2,947 - the sum of both separate 2024 taxes when filing jointly for 2025); prior-year AGI $105,285 (&lt; $150,000 -&gt; 100%). Required annual payment $8,910 &lt; withholding $9,446 -&gt; penalty $0. Support: Sofia's 2024 TurboTax summary (PBC #12).</t>
        </is>
      </c>
      <c r="H14" s="3" t="n">
        <v>0</v>
      </c>
      <c r="I14" s="57" t="inlineStr">
        <is>
          <t>Signed Off</t>
        </is>
      </c>
      <c r="J14" s="57" t="inlineStr">
        <is>
          <t>Staff preparer</t>
        </is>
      </c>
      <c r="K14" s="57" t="inlineStr">
        <is>
          <t>L. Chen (senior)</t>
        </is>
      </c>
      <c r="L14" s="57" t="inlineStr">
        <is>
          <t>EVG1014-SX1 | Workbook tab 8. Est. Tax Penalty (2210) | Form 2210 instructions: if you file jointly for 2025 but separately for 2024, use the sum of the two 2024 taxes.</t>
        </is>
      </c>
    </row>
    <row r="15">
      <c r="A15" s="70" t="inlineStr">
        <is>
          <t>EVG1014</t>
        </is>
      </c>
      <c r="B15" s="70" t="n">
        <v>2025</v>
      </c>
      <c r="C15" s="70" t="inlineStr">
        <is>
          <t>none fired</t>
        </is>
      </c>
      <c r="D15" s="70" t="inlineStr">
        <is>
          <t>[No diagnostic - logged by preparer] Primary name 'Sofia Hart' - name control does not match SSA (IND-031-04)</t>
        </is>
      </c>
      <c r="E15" s="70" t="inlineStr">
        <is>
          <t>E-file Disqualifying</t>
        </is>
      </c>
      <c r="F15" s="70" t="inlineStr">
        <is>
          <t>No</t>
        </is>
      </c>
      <c r="G15" s="70" t="inlineStr">
        <is>
          <t>General &gt; Taxpayer information: last name 'Martinez' (Sofia E. Martinez) - name control MART - until she files Form SS-5. Save corrected version (v2), retransmit, monitor to acceptance (accepted 04/10/2026).</t>
        </is>
      </c>
      <c r="H15" s="5" t="n"/>
      <c r="I15" s="70" t="inlineStr">
        <is>
          <t>Signed Off</t>
        </is>
      </c>
      <c r="J15" s="70" t="inlineStr">
        <is>
          <t>Staff preparer</t>
        </is>
      </c>
      <c r="K15" s="70" t="inlineStr">
        <is>
          <t>L. Chen (senior)</t>
        </is>
      </c>
      <c r="L15" s="70" t="inlineStr">
        <is>
          <t>EVG1014-SX2 | Workbook tab 2. Diagnostics Log | Add to the newlywed filing-status checklist: compare organizer name to SS card / 1099 names.</t>
        </is>
      </c>
    </row>
    <row r="16">
      <c r="A16" s="57" t="inlineStr">
        <is>
          <t>EVG1014</t>
        </is>
      </c>
      <c r="B16" s="57" t="n">
        <v>2025</v>
      </c>
      <c r="C16" s="57" t="inlineStr">
        <is>
          <t>none fired</t>
        </is>
      </c>
      <c r="D16" s="57" t="inlineStr">
        <is>
          <t>[No diagnostic - logged by preparer] Stripe 1099-K includes the Arbor Brewing payments already on a 1099-NEC</t>
        </is>
      </c>
      <c r="E16" s="57" t="inlineStr">
        <is>
          <t>Other</t>
        </is>
      </c>
      <c r="F16" s="57" t="inlineStr">
        <is>
          <t>Yes</t>
        </is>
      </c>
      <c r="G16" s="57" t="inlineStr">
        <is>
          <t>Business Income (Schedule C) &gt; Gross receipts: $30,750 = Kerrytown $18,000 + Stripe $12,400 + Venmo $350 (Arbor's $9,500 counted once, inside Stripe). Keep the CSV-to-1099 reconciliation in WP 10 for any AUR notice. Stripe fees $363 from the CSV.</t>
        </is>
      </c>
      <c r="H16" s="3" t="n">
        <v>30750</v>
      </c>
      <c r="I16" s="57" t="inlineStr">
        <is>
          <t>Signed Off</t>
        </is>
      </c>
      <c r="J16" s="57" t="inlineStr">
        <is>
          <t>Staff preparer</t>
        </is>
      </c>
      <c r="K16" s="57" t="inlineStr">
        <is>
          <t>L. Chen (senior)</t>
        </is>
      </c>
      <c r="L16" s="57" t="inlineStr">
        <is>
          <t>EVG1014-SX3 | Workbook tab 2. Diagnostics Log</t>
        </is>
      </c>
    </row>
    <row r="17">
      <c r="A17" s="70" t="inlineStr">
        <is>
          <t>EVG1014</t>
        </is>
      </c>
      <c r="B17" s="70" t="n">
        <v>2025</v>
      </c>
      <c r="C17" s="70" t="inlineStr">
        <is>
          <t>none fired</t>
        </is>
      </c>
      <c r="D17" s="70" t="inlineStr">
        <is>
          <t>[No diagnostic - logged by preparer] Form 8829 for a part-year office in a rented apartment</t>
        </is>
      </c>
      <c r="E17" s="70" t="inlineStr">
        <is>
          <t>Other</t>
        </is>
      </c>
      <c r="F17" s="70" t="inlineStr">
        <is>
          <t>Yes</t>
        </is>
      </c>
      <c r="G17" s="70" t="inlineStr">
        <is>
          <t>Business Income &gt; Business Use of Home (8829): enter April-December rent, DTE, internet and renters insurance only ($19,233) -&gt; $3,206. Simplified comparison $563 ($5 x average 112.5 sq ft) kept on the WP. No depreciation (rented).</t>
        </is>
      </c>
      <c r="H17" s="5" t="n">
        <v>3206</v>
      </c>
      <c r="I17" s="70" t="inlineStr">
        <is>
          <t>Signed Off</t>
        </is>
      </c>
      <c r="J17" s="70" t="inlineStr">
        <is>
          <t>Staff preparer</t>
        </is>
      </c>
      <c r="K17" s="70" t="inlineStr">
        <is>
          <t>L. Chen (senior)</t>
        </is>
      </c>
      <c r="L17" s="70" t="inlineStr">
        <is>
          <t>EVG1014-SX4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12292</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105285</v>
      </c>
      <c r="F14" s="57" t="n"/>
    </row>
    <row r="15" ht="25.5" customHeight="1">
      <c r="A15" s="71" t="inlineStr">
        <is>
          <t>Prior-Year Tax</t>
        </is>
      </c>
      <c r="B15" s="97" t="n"/>
      <c r="C15" s="97" t="n"/>
      <c r="D15" s="96" t="n"/>
      <c r="E15" s="5" t="n">
        <v>8910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9446</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2361.5</v>
      </c>
      <c r="D25" s="57" t="inlineStr">
        <is>
          <t>Y</t>
        </is>
      </c>
      <c r="E25" s="3">
        <f>MAX(0,B25-C25)</f>
        <v/>
      </c>
      <c r="F25" s="57" t="inlineStr">
        <is>
          <t>W-2 + 1099-G withholding 9,446 treated as paid evenly; no estimates</t>
        </is>
      </c>
    </row>
    <row r="26">
      <c r="A26" s="70" t="inlineStr">
        <is>
          <t>Q2 (6/15)</t>
        </is>
      </c>
      <c r="B26" s="5">
        <f>$E$18*0.25</f>
        <v/>
      </c>
      <c r="C26" s="5" t="n">
        <v>2361.5</v>
      </c>
      <c r="D26" s="70" t="inlineStr">
        <is>
          <t>Y</t>
        </is>
      </c>
      <c r="E26" s="5">
        <f>MAX(0,B26-C26)</f>
        <v/>
      </c>
      <c r="F26" s="70" t="inlineStr">
        <is>
          <t>PY tax = Liam 5,963 + Sofia 2,947 (separate 2024 returns); PY AGI 64,190 + 41,095 = 105,285</t>
        </is>
      </c>
    </row>
    <row r="27">
      <c r="A27" s="57" t="inlineStr">
        <is>
          <t>Q3 (9/15)</t>
        </is>
      </c>
      <c r="B27" s="3">
        <f>$E$18*0.25</f>
        <v/>
      </c>
      <c r="C27" s="3" t="n">
        <v>2361.5</v>
      </c>
      <c r="D27" s="57" t="inlineStr">
        <is>
          <t>Y</t>
        </is>
      </c>
      <c r="E27" s="3">
        <f>MAX(0,B27-C27)</f>
        <v/>
      </c>
      <c r="F27" s="57" t="n"/>
    </row>
    <row r="28">
      <c r="A28" s="70" t="inlineStr">
        <is>
          <t>Q4 (1/15 following yr)</t>
        </is>
      </c>
      <c r="B28" s="5">
        <f>$E$18*0.25</f>
        <v/>
      </c>
      <c r="C28" s="5" t="n">
        <v>2361.5</v>
      </c>
      <c r="D28" s="70" t="inlineStr">
        <is>
          <t>Y</t>
        </is>
      </c>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2026-10-05T20:03:03Z</dcterms:modified>
  <cp:lastModifiedBy>Shane Kennedy</cp:lastModifiedBy>
  <cp:revision>0</cp:revision>
</cp:coreProperties>
</file>