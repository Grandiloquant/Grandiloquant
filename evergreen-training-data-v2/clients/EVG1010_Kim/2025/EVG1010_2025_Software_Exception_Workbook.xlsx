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EVG1010 - Daniel &amp; Grace Kim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EVG1010-SX1</t>
        </is>
      </c>
      <c r="B4" s="100" t="inlineStr">
        <is>
          <t>17. Equity Comp &amp; Wash Sales</t>
        </is>
      </c>
      <c r="C4" s="100" t="inlineStr">
        <is>
          <t>RSU sales reported with $0 basis (basis not reported to IRS)</t>
        </is>
      </c>
      <c r="D4" s="100" t="inlineStr">
        <is>
          <t>Same - ProConnect computes gain from the basis entered; $0 from the 1099-B means the full proceeds are taxed.</t>
        </is>
      </c>
      <c r="E4" s="100" t="inlineStr">
        <is>
          <t>Dispositions screen: per lot, cost basis $0 as reported plus adjustment code B and the FMV-at-vest adjustment (or enter the corrected basis with code B) - field per current release - verify.</t>
        </is>
      </c>
      <c r="F4" s="100" t="inlineStr">
        <is>
          <t>Field per current release - verify</t>
        </is>
      </c>
      <c r="G4" s="100" t="inlineStr">
        <is>
          <t>None (Form 8949 boxes B/E detail transmitted)</t>
        </is>
      </c>
      <c r="H4" s="100" t="n">
        <v>59880</v>
      </c>
    </row>
    <row r="5">
      <c r="A5" s="100" t="inlineStr">
        <is>
          <t>EVG1010-SX2</t>
        </is>
      </c>
      <c r="B5" s="100" t="inlineStr">
        <is>
          <t>2. Diagnostics Log</t>
        </is>
      </c>
      <c r="C5" s="100" t="inlineStr">
        <is>
          <t>Kid taxes: Ethan not eligible for Form 8814 (fund sale + wages); Chloe 8814 elected</t>
        </is>
      </c>
      <c r="D5" s="100" t="inlineStr">
        <is>
          <t>Same Form 8814 limitation. Ethan's return needs Form 8615 and ProConnect has no Family Link (a Lacerte feature): the parents' figures must be keyed manually; until they are, diagnostic ref 826 ('Form 8615 must be filed').</t>
        </is>
      </c>
      <c r="E5" s="100" t="inlineStr">
        <is>
          <t>Parents' return: Children's Interest and Dividends (8814) for Chloe only. Ethan's return: Taxes &gt; Children Under 18 (8615) &gt; Parent's Information - parents' TI $402,319, tax, filing status MFJ; re-check if the parents' return changes.</t>
        </is>
      </c>
      <c r="F5" s="100" t="inlineStr">
        <is>
          <t>Intuit help: 'How do you generate Form 8615 in ProConnect Tax'; 'resolve diagnostic Ref 826'</t>
        </is>
      </c>
      <c r="G5" s="100" t="inlineStr">
        <is>
          <t>None (two separate e-filed returns)</t>
        </is>
      </c>
      <c r="H5" s="100" t="n">
        <v>55</v>
      </c>
    </row>
    <row r="6">
      <c r="A6" s="100" t="inlineStr">
        <is>
          <t>EVG1010-SX3</t>
        </is>
      </c>
      <c r="B6" s="100" t="inlineStr">
        <is>
          <t>2. Diagnostics Log</t>
        </is>
      </c>
      <c r="C6" s="100" t="inlineStr">
        <is>
          <t>Nanny paid on a 1099-NEC is a household employee - Schedule H</t>
        </is>
      </c>
      <c r="D6" s="100" t="inlineStr">
        <is>
          <t>Same - Schedule H is generated only from household employment inputs.</t>
        </is>
      </c>
      <c r="E6" s="100" t="inlineStr">
        <is>
          <t>Household Employment Taxes (Schedule H) screen: cash wages $28,000, FUTA wages $7,000, state contributions paid timely (screen/field per current release - verify).</t>
        </is>
      </c>
      <c r="F6" s="100" t="inlineStr">
        <is>
          <t>Screen/field per current release - verify</t>
        </is>
      </c>
      <c r="G6" s="100" t="inlineStr">
        <is>
          <t>None (Schedule H e-filed with the 1040; W-2/W-3 filed with SSA separately)</t>
        </is>
      </c>
      <c r="H6" s="100" t="n">
        <v>4326</v>
      </c>
    </row>
    <row r="7">
      <c r="A7" s="100" t="inlineStr">
        <is>
          <t>EVG1010-SX4</t>
        </is>
      </c>
      <c r="B7" s="100" t="inlineStr">
        <is>
          <t>2. Diagnostics Log</t>
        </is>
      </c>
      <c r="C7" s="100" t="inlineStr">
        <is>
          <t>1099-Q for private K-12 tuition - earnings not taxable</t>
        </is>
      </c>
      <c r="D7" s="100" t="inlineStr">
        <is>
          <t>Same - 1099-Q earnings are taxable unless qualified expenses are entered.</t>
        </is>
      </c>
      <c r="E7" s="100" t="inlineStr">
        <is>
          <t>Education &gt; 1099-Q: enter qualified K-12 tuition expenses $10,000 for Chloe (field per current release - verify).</t>
        </is>
      </c>
      <c r="F7" s="100" t="inlineStr">
        <is>
          <t>Field per current release - verify</t>
        </is>
      </c>
      <c r="G7" s="100" t="inlineStr">
        <is>
          <t>None</t>
        </is>
      </c>
      <c r="H7" s="1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EVG1010</t>
        </is>
      </c>
      <c r="B14" s="57" t="n">
        <v>2025</v>
      </c>
      <c r="C14" s="57" t="inlineStr">
        <is>
          <t>none fired</t>
        </is>
      </c>
      <c r="D14" s="57" t="inlineStr">
        <is>
          <t>[No diagnostic - logged by preparer] RSU sales reported with $0 basis (basis not reported to IRS)</t>
        </is>
      </c>
      <c r="E14" s="57" t="inlineStr">
        <is>
          <t>Capital Loss</t>
        </is>
      </c>
      <c r="F14" s="57" t="inlineStr">
        <is>
          <t>Yes</t>
        </is>
      </c>
      <c r="G14" s="57" t="inlineStr">
        <is>
          <t>Gains and Losses &gt; Form 8949: box B (short-term: four sell-to-cover sales + 12/05 sale) / box E (150 sh from the 03/15/2023 release); keep 1099-B basis $0, adjustment code B, column (g) = -FMV at vest per lot (total $59,880). Net RSU gain $9,458 (ST $788, LT $8,670). Tie W-2 box 14 RSU $86,400 to the release schedule.</t>
        </is>
      </c>
      <c r="H14" s="3" t="n">
        <v>59880</v>
      </c>
      <c r="I14" s="57" t="inlineStr">
        <is>
          <t>Signed Off</t>
        </is>
      </c>
      <c r="J14" s="57" t="inlineStr">
        <is>
          <t>P. Anand (staff)</t>
        </is>
      </c>
      <c r="K14" s="57" t="inlineStr">
        <is>
          <t>M. Okafor (senior)</t>
        </is>
      </c>
      <c r="L14" s="57" t="inlineStr">
        <is>
          <t>EVG1010-SX1 | Workbook tab 17. Equity Comp &amp; Wash Sales | Sell-to-cover lots STC1/STC2/STC4 show small losses ($22.80/$5.70/$22.80): the retained shares come from the same release, no other NSCS purchases in any account - no wash-sale adjustment taken (de minimis $51; firm position).</t>
        </is>
      </c>
    </row>
    <row r="15">
      <c r="A15" s="70" t="inlineStr">
        <is>
          <t>EVG1010</t>
        </is>
      </c>
      <c r="B15" s="70" t="n">
        <v>2025</v>
      </c>
      <c r="C15" s="70" t="inlineStr">
        <is>
          <t>none fired</t>
        </is>
      </c>
      <c r="D15" s="70" t="inlineStr">
        <is>
          <t>[No diagnostic - logged by preparer] Kid taxes: Ethan not eligible for Form 8814 (fund sale + wages); Chloe 8814 elected</t>
        </is>
      </c>
      <c r="E15" s="70" t="inlineStr">
        <is>
          <t>Other</t>
        </is>
      </c>
      <c r="F15" s="70" t="inlineStr">
        <is>
          <t>No</t>
        </is>
      </c>
      <c r="G15" s="70" t="inlineStr">
        <is>
          <t>Delete Ethan's Form 8814 from the parents' return. Ethan files his own 1040 with Form 8615 (separate client ID EVG1021, own project code); parents' information for his 8615: taxable income $402,319, tax, qualified dividends $5,904, net capital gain $9,877 (Axcess parent-information input on the child's return - verify field path). Chloe's 8814 stays: $1,900 interest &lt; $2,700 -&gt; $0 added to income; tax $55 on line 16.</t>
        </is>
      </c>
      <c r="H15" s="5" t="n">
        <v>55</v>
      </c>
      <c r="I15" s="70" t="inlineStr">
        <is>
          <t>Signed Off</t>
        </is>
      </c>
      <c r="J15" s="70" t="inlineStr">
        <is>
          <t>P. Anand (staff)</t>
        </is>
      </c>
      <c r="K15" s="70" t="inlineStr">
        <is>
          <t>M. Okafor (senior)</t>
        </is>
      </c>
      <c r="L15" s="70" t="inlineStr">
        <is>
          <t>EVG1010-SX2 | Workbook tab 2. Diagnostics Log | Ethan's return must be finalized after the parents' (export of final TI).</t>
        </is>
      </c>
    </row>
    <row r="16">
      <c r="A16" s="57" t="inlineStr">
        <is>
          <t>EVG1010</t>
        </is>
      </c>
      <c r="B16" s="57" t="n">
        <v>2025</v>
      </c>
      <c r="C16" s="57" t="inlineStr">
        <is>
          <t>none fired</t>
        </is>
      </c>
      <c r="D16" s="57" t="inlineStr">
        <is>
          <t>[No diagnostic - logged by preparer] Nanny paid on a 1099-NEC is a household employee - Schedule H</t>
        </is>
      </c>
      <c r="E16" s="57" t="inlineStr">
        <is>
          <t>Other</t>
        </is>
      </c>
      <c r="F16" s="57" t="inlineStr">
        <is>
          <t>Yes</t>
        </is>
      </c>
      <c r="G16" s="57" t="inlineStr">
        <is>
          <t>Other Taxes &gt; Household employment taxes (Schedule H): cash wages $28,000; SS/Medicare 15.3% = $4,284 (employee share paid by employer - not withheld); FUTA wages $7,000 x 0.6% = $42 with state contributions paid 04/06/2026 (line 14 'Yes'); total $4,326 to Schedule 2 line 9. W-2 box 1 for Maria $30,142 (employee FICA paid by employer is income-tax wages only) - prepared outside the 1040.</t>
        </is>
      </c>
      <c r="H16" s="3" t="n">
        <v>4326</v>
      </c>
      <c r="I16" s="57" t="inlineStr">
        <is>
          <t>Signed Off</t>
        </is>
      </c>
      <c r="J16" s="57" t="inlineStr">
        <is>
          <t>P. Anand (staff)</t>
        </is>
      </c>
      <c r="K16" s="57" t="inlineStr">
        <is>
          <t>M. Okafor (senior)</t>
        </is>
      </c>
      <c r="L16" s="57" t="inlineStr">
        <is>
          <t>EVG1010-SX3 | Workbook tab 2. Diagnostics Log | 2024 wages $6,240 also exceeded the 2024 threshold - 1040-X with Schedule H in a separate MISC project.</t>
        </is>
      </c>
    </row>
    <row r="17">
      <c r="A17" s="70" t="inlineStr">
        <is>
          <t>EVG1010</t>
        </is>
      </c>
      <c r="B17" s="70" t="n">
        <v>2025</v>
      </c>
      <c r="C17" s="70" t="inlineStr">
        <is>
          <t>none fired</t>
        </is>
      </c>
      <c r="D17" s="70" t="inlineStr">
        <is>
          <t>[No diagnostic - logged by preparer] 1099-Q for private K-12 tuition - earnings not taxable</t>
        </is>
      </c>
      <c r="E17" s="70" t="inlineStr">
        <is>
          <t>Other</t>
        </is>
      </c>
      <c r="F17" s="70" t="inlineStr">
        <is>
          <t>No</t>
        </is>
      </c>
      <c r="G17" s="70" t="inlineStr">
        <is>
          <t>Education &gt; 1099-Q / qualified expenses input: enter K-12 tuition $10,000 (Lakeside Hills Academy, grade 7) as a qualified 529 expense (verify field path in current release) -&gt; taxable earnings $0. No education credit (K-12 tuition is not a credit expense).</t>
        </is>
      </c>
      <c r="H17" s="5" t="n">
        <v>0</v>
      </c>
      <c r="I17" s="70" t="inlineStr">
        <is>
          <t>Signed Off</t>
        </is>
      </c>
      <c r="J17" s="70" t="inlineStr">
        <is>
          <t>P. Anand (staff)</t>
        </is>
      </c>
      <c r="K17" s="70" t="inlineStr">
        <is>
          <t>M. Okafor (senior)</t>
        </is>
      </c>
      <c r="L17" s="70" t="inlineStr">
        <is>
          <t>EVG1010-SX4 | Workbook tab 2. Diagnostics Log | 2025 limit $10,000 per beneficiary for K-12 tuition (rises to $20,000 from 2026 under OBBBA).</t>
        </is>
      </c>
    </row>
    <row r="18">
      <c r="A18" s="57" t="n"/>
      <c r="B18" s="57" t="n"/>
      <c r="C18" s="57" t="n"/>
      <c r="D18" s="57" t="n"/>
      <c r="E18" s="57" t="n"/>
      <c r="F18" s="57" t="n"/>
      <c r="G18" s="57" t="n"/>
      <c r="H18" s="3" t="n"/>
      <c r="I18" s="57" t="n"/>
      <c r="J18" s="57" t="n"/>
      <c r="K18" s="57" t="n"/>
      <c r="L18" s="57" t="n"/>
    </row>
    <row r="19">
      <c r="A19" s="70" t="n"/>
      <c r="B19" s="70" t="n"/>
      <c r="C19" s="70" t="n"/>
      <c r="D19" s="70" t="n"/>
      <c r="E19" s="70" t="n"/>
      <c r="F19" s="70" t="n"/>
      <c r="G19" s="70" t="n"/>
      <c r="H19" s="5" t="n"/>
      <c r="I19" s="70" t="n"/>
      <c r="J19" s="70" t="n"/>
      <c r="K19" s="70" t="n"/>
      <c r="L19" s="70" t="n"/>
    </row>
    <row r="20">
      <c r="A20" s="57" t="n"/>
      <c r="B20" s="57" t="n"/>
      <c r="C20" s="57" t="n"/>
      <c r="D20" s="57" t="n"/>
      <c r="E20" s="57" t="n"/>
      <c r="F20" s="57" t="n"/>
      <c r="G20" s="57" t="n"/>
      <c r="H20" s="3" t="n"/>
      <c r="I20" s="57" t="n"/>
      <c r="J20" s="57" t="n"/>
      <c r="K20" s="57" t="n"/>
      <c r="L20" s="57" t="n"/>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n"/>
      <c r="B13" s="57" t="n"/>
      <c r="C13" s="3" t="n"/>
      <c r="D13" s="3" t="n"/>
      <c r="E13" s="3">
        <f>C13-D13</f>
        <v/>
      </c>
      <c r="F13" s="57" t="n"/>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n"/>
      <c r="B12" s="3" t="n"/>
      <c r="C12" s="3" t="n"/>
      <c r="D12" s="12">
        <f>IF(B12=0,0,C12/B12)</f>
        <v/>
      </c>
      <c r="E12" s="3" t="n"/>
      <c r="F12" s="3">
        <f>MIN(E12,G12*D12)</f>
        <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c r="F14" s="57" t="n"/>
    </row>
    <row r="15" ht="25.5" customHeight="1">
      <c r="A15" s="71" t="inlineStr">
        <is>
          <t>Prior-Year Tax</t>
        </is>
      </c>
      <c r="B15" s="97" t="n"/>
      <c r="C15" s="97" t="n"/>
      <c r="D15" s="96" t="n"/>
      <c r="E15" s="5" t="n"/>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c r="D25" s="57" t="n"/>
      <c r="E25" s="3">
        <f>MAX(0,B25-C25)</f>
        <v/>
      </c>
      <c r="F25" s="57" t="n"/>
    </row>
    <row r="26">
      <c r="A26" s="70" t="inlineStr">
        <is>
          <t>Q2 (6/15)</t>
        </is>
      </c>
      <c r="B26" s="5">
        <f>$E$18*0.25</f>
        <v/>
      </c>
      <c r="C26" s="5" t="n"/>
      <c r="D26" s="70" t="n"/>
      <c r="E26" s="5">
        <f>MAX(0,B26-C26)</f>
        <v/>
      </c>
      <c r="F26" s="70" t="n"/>
    </row>
    <row r="27">
      <c r="A27" s="57" t="inlineStr">
        <is>
          <t>Q3 (9/15)</t>
        </is>
      </c>
      <c r="B27" s="3">
        <f>$E$18*0.25</f>
        <v/>
      </c>
      <c r="C27" s="3" t="n"/>
      <c r="D27" s="57" t="n"/>
      <c r="E27" s="3">
        <f>MAX(0,B27-C27)</f>
        <v/>
      </c>
      <c r="F27" s="57" t="n"/>
    </row>
    <row r="28">
      <c r="A28" s="70" t="inlineStr">
        <is>
          <t>Q4 (1/15 following yr)</t>
        </is>
      </c>
      <c r="B28" s="5">
        <f>$E$18*0.25</f>
        <v/>
      </c>
      <c r="C28" s="5" t="n"/>
      <c r="D28" s="70" t="n"/>
      <c r="E28" s="5">
        <f>MAX(0,B28-C28)</f>
        <v/>
      </c>
      <c r="F28" s="70" t="n"/>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n"/>
      <c r="B11" s="3" t="n"/>
      <c r="C11" s="3" t="n"/>
      <c r="D11" s="3" t="n"/>
      <c r="E11" s="3" t="n"/>
      <c r="F11" s="3" t="n"/>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inlineStr">
        <is>
          <t>STC1 - 38 sh NSCS released 02/15/2025 @180.00, sold 02/18/2025 (box B)</t>
        </is>
      </c>
      <c r="B12" s="3" t="n">
        <v>0</v>
      </c>
      <c r="C12" s="3" t="n">
        <v>6840</v>
      </c>
      <c r="D12" s="3">
        <f>B12+C12</f>
        <v/>
      </c>
      <c r="E12" s="3" t="inlineStr">
        <is>
          <t>No</t>
        </is>
      </c>
      <c r="F12" s="3" t="n"/>
      <c r="G12" s="3" t="inlineStr">
        <is>
          <t>Proceeds 6,817.20 -&gt; loss (22.80); see note on sell-to-cover lots</t>
        </is>
      </c>
    </row>
    <row r="13">
      <c r="A13" s="70" t="inlineStr">
        <is>
          <t>STC2 - 38 sh released 05/15/2025 @172.50, sold 05/15/2025 (box B)</t>
        </is>
      </c>
      <c r="B13" s="5" t="n">
        <v>0</v>
      </c>
      <c r="C13" s="5" t="n">
        <v>6555</v>
      </c>
      <c r="D13" s="5">
        <f>B13+C13</f>
        <v/>
      </c>
      <c r="E13" s="5" t="inlineStr">
        <is>
          <t>No</t>
        </is>
      </c>
      <c r="F13" s="5" t="n"/>
      <c r="G13" s="5" t="inlineStr">
        <is>
          <t>Proceeds 6,549.30 -&gt; loss (5.70)</t>
        </is>
      </c>
    </row>
    <row r="14">
      <c r="A14" s="57" t="inlineStr">
        <is>
          <t>STC3 - 38 sh released 08/15/2025 @185.00, sold 08/15/2025 (box B)</t>
        </is>
      </c>
      <c r="B14" s="3" t="n">
        <v>0</v>
      </c>
      <c r="C14" s="3" t="n">
        <v>7030</v>
      </c>
      <c r="D14" s="3">
        <f>B14+C14</f>
        <v/>
      </c>
      <c r="E14" s="3" t="inlineStr">
        <is>
          <t>No</t>
        </is>
      </c>
      <c r="F14" s="3" t="n"/>
      <c r="G14" s="3" t="inlineStr">
        <is>
          <t>Proceeds 7,041.40 -&gt; gain 11.40</t>
        </is>
      </c>
    </row>
    <row r="15">
      <c r="A15" s="70" t="inlineStr">
        <is>
          <t>STC4 - 38 sh released 11/15/2025 @182.50, sold 11/17/2025 (box B)</t>
        </is>
      </c>
      <c r="B15" s="5" t="n">
        <v>0</v>
      </c>
      <c r="C15" s="5" t="n">
        <v>6935</v>
      </c>
      <c r="D15" s="5">
        <f>B15+C15</f>
        <v/>
      </c>
      <c r="E15" s="5" t="inlineStr">
        <is>
          <t>No</t>
        </is>
      </c>
      <c r="F15" s="5" t="n"/>
      <c r="G15" s="5" t="inlineStr">
        <is>
          <t>Proceeds 6,912.20 -&gt; loss (22.80)</t>
        </is>
      </c>
    </row>
    <row r="16">
      <c r="A16" s="57" t="inlineStr">
        <is>
          <t>S5 - 82 sh released 02/15/2025 @180.00, sold 12/05/2025 (box B)</t>
        </is>
      </c>
      <c r="B16" s="3" t="n">
        <v>0</v>
      </c>
      <c r="C16" s="3" t="n">
        <v>14760</v>
      </c>
      <c r="D16" s="3">
        <f>B16+C16</f>
        <v/>
      </c>
      <c r="E16" s="3" t="inlineStr">
        <is>
          <t>No</t>
        </is>
      </c>
      <c r="F16" s="3" t="n"/>
      <c r="G16" s="3" t="inlineStr">
        <is>
          <t>Proceeds 15,588.20 -&gt; gain 828.20. ST total 788.</t>
        </is>
      </c>
    </row>
    <row r="17">
      <c r="A17" s="70" t="inlineStr">
        <is>
          <t>S6 - 150 sh released 03/15/2023 @118.40 (2023 W-2), sold 06/10/2025 (box E, long-term)</t>
        </is>
      </c>
      <c r="B17" s="5" t="n">
        <v>0</v>
      </c>
      <c r="C17" s="5" t="n">
        <v>17760</v>
      </c>
      <c r="D17" s="5">
        <f>B17+C17</f>
        <v/>
      </c>
      <c r="E17" s="5" t="inlineStr">
        <is>
          <t>No</t>
        </is>
      </c>
      <c r="F17" s="5" t="n"/>
      <c r="G17" s="5" t="inlineStr">
        <is>
          <t>Proceeds 26,430.00 -&gt; LT gain 8,670. Total code B adjustments 59,880; net RSU gain 9,458.</t>
        </is>
      </c>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n"/>
      <c r="B11" s="6" t="n"/>
      <c r="C11" s="6" t="n"/>
      <c r="D11" s="7" t="n"/>
      <c r="E11" s="6" t="n"/>
      <c r="F11" s="6" t="n"/>
    </row>
    <row r="12">
      <c r="A12" s="8" t="n"/>
      <c r="B12" s="8" t="n"/>
      <c r="C12" s="8" t="n"/>
      <c r="D12" s="9" t="n"/>
      <c r="E12" s="8" t="n"/>
      <c r="F12" s="8" t="n"/>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2026-10-12T16:22:56Z</dcterms:modified>
  <cp:lastModifiedBy>Shane Kennedy</cp:lastModifiedBy>
  <cp:revision>0</cp:revision>
</cp:coreProperties>
</file>