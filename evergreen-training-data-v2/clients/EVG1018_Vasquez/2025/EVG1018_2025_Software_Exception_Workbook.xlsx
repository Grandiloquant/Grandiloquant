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EVG1018 - Elena Vasquez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EVG1018-SX1</t>
        </is>
      </c>
      <c r="B4" s="100" t="inlineStr">
        <is>
          <t>2. Diagnostics Log</t>
        </is>
      </c>
      <c r="C4" s="100" t="inlineStr">
        <is>
          <t>S corp K-1 omits the IRC 311(b) gain on the distributed truck - report inconsistently with Form 8082</t>
        </is>
      </c>
      <c r="D4" s="100" t="inlineStr">
        <is>
          <t>Same - ProConnect uses the K-1 amounts entered; Form 8082 must be added for the inconsistent position.</t>
        </is>
      </c>
      <c r="E4" s="100" t="inlineStr">
        <is>
          <t>S Corp Info (1120S K-1): ordinary income 82,000; distributions 72,000 (property at FMV); add Form 8082 (screen per current release - verify).</t>
        </is>
      </c>
      <c r="F4" s="100" t="inlineStr"/>
      <c r="G4" s="100" t="inlineStr">
        <is>
          <t>Form 8082 attached (e-file compatible)</t>
        </is>
      </c>
      <c r="H4" s="100" t="n">
        <v>20000</v>
      </c>
    </row>
    <row r="5">
      <c r="A5" s="100" t="inlineStr">
        <is>
          <t>EVG1018-SX2</t>
        </is>
      </c>
      <c r="B5" s="100" t="inlineStr">
        <is>
          <t>12. S-Corp Dual Basis</t>
        </is>
      </c>
      <c r="C5" s="100" t="inlineStr">
        <is>
          <t>Form 7203 ordering with a property distribution - gain first, distribution at FMV</t>
        </is>
      </c>
      <c r="D5" s="100" t="inlineStr">
        <is>
          <t>Form 7203 is produced because there is a distribution; ProConnect requires 'Stock basis at beginning of year' (diagnostic ref 56844 if missing).</t>
        </is>
      </c>
      <c r="E5" s="100" t="inlineStr">
        <is>
          <t>S Corp Info (1120S K-1) &gt; Shareholder's Basis (7203): stock basis at beginning of year 95,000; distributions 72,000 (at FMV); confirm no gain and ending basis 101,750.</t>
        </is>
      </c>
      <c r="F5" s="100" t="inlineStr">
        <is>
          <t>Intuit help: 'How to complete Form 7203 and resolve diagnostic 56844 in ProConnect Tax'</t>
        </is>
      </c>
      <c r="G5" s="100" t="inlineStr">
        <is>
          <t>None (Form 7203 attached)</t>
        </is>
      </c>
      <c r="H5" s="100" t="n">
        <v>72000</v>
      </c>
    </row>
    <row r="6">
      <c r="A6" s="100" t="inlineStr">
        <is>
          <t>EVG1018-SX3</t>
        </is>
      </c>
      <c r="B6" s="100" t="inlineStr">
        <is>
          <t>2. Diagnostics Log</t>
        </is>
      </c>
      <c r="C6" s="100" t="inlineStr">
        <is>
          <t>QBI from K-1 Statement A omits the 1245 recapture; reduce for 2% shareholder health insurance</t>
        </is>
      </c>
      <c r="D6" s="100" t="inlineStr">
        <is>
          <t>Same - QBI comes from the 199A fields entered from Statement A.</t>
        </is>
      </c>
      <c r="E6" s="100" t="inlineStr">
        <is>
          <t>S Corp Info (1120S K-1) &gt; Qualified Business Income (199A): QBI 82,000; confirm the SE health insurance adjustment reduces QBI to 74,200 (field per current release - verify).</t>
        </is>
      </c>
      <c r="F6" s="100" t="inlineStr"/>
      <c r="G6" s="100" t="inlineStr">
        <is>
          <t>None</t>
        </is>
      </c>
      <c r="H6" s="100" t="n">
        <v>14840</v>
      </c>
    </row>
    <row r="7">
      <c r="A7" s="100" t="inlineStr">
        <is>
          <t>EVG1018-SX4</t>
        </is>
      </c>
      <c r="B7" s="100" t="inlineStr">
        <is>
          <t>13. Trust Termination PAL</t>
        </is>
      </c>
      <c r="C7" s="100" t="inlineStr">
        <is>
          <t>Trust's final K-1: $18,400 suspended passive losses are a basis step-up, not a deduction</t>
        </is>
      </c>
      <c r="D7" s="100" t="inlineStr">
        <is>
          <t>Same - suspended losses from a trust footnote are not deductible and must not be entered as a K-1 loss.</t>
        </is>
      </c>
      <c r="E7" s="100" t="inlineStr">
        <is>
          <t>Trust K-1 (1041) input: no passive loss entry; Schedule D capital loss carryover 3,200 via the K-1 final-year field; basis memo for the 2026 rental asset entries (screen/field per current release - verify).</t>
        </is>
      </c>
      <c r="F7" s="100" t="inlineStr"/>
      <c r="G7" s="100" t="inlineStr">
        <is>
          <t>None</t>
        </is>
      </c>
      <c r="H7" s="100" t="n">
        <v>18400</v>
      </c>
    </row>
    <row r="8">
      <c r="A8" s="100" t="inlineStr">
        <is>
          <t>EVG1018-SX5</t>
        </is>
      </c>
      <c r="B8" s="100" t="inlineStr">
        <is>
          <t>2. Diagnostics Log</t>
        </is>
      </c>
      <c r="C8" s="100" t="inlineStr">
        <is>
          <t>2% shareholder health insurance in W-2 box 14 - deduction needs its own input</t>
        </is>
      </c>
      <c r="D8" s="100" t="inlineStr">
        <is>
          <t>Same - box 14 amounts do not create the deduction by themselves.</t>
        </is>
      </c>
      <c r="E8" s="100" t="inlineStr">
        <is>
          <t>Adjustments to Income &gt; Self-employed health insurance: 7,800, linked to the S corporation (field per current release - verify).</t>
        </is>
      </c>
      <c r="F8" s="100" t="inlineStr"/>
      <c r="G8" s="100" t="inlineStr">
        <is>
          <t>None</t>
        </is>
      </c>
      <c r="H8" s="100" t="n">
        <v>7800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EVG1018</t>
        </is>
      </c>
      <c r="B14" s="57" t="n">
        <v>2025</v>
      </c>
      <c r="C14" s="57" t="inlineStr">
        <is>
          <t>none fired</t>
        </is>
      </c>
      <c r="D14" s="57" t="inlineStr">
        <is>
          <t>[No diagnostic - logged by preparer] S corp K-1 omits the IRC 311(b) gain on the distributed truck - report inconsistently with Form 8082</t>
        </is>
      </c>
      <c r="E14" s="57" t="inlineStr">
        <is>
          <t>Other</t>
        </is>
      </c>
      <c r="F14" s="57" t="inlineStr">
        <is>
          <t>Yes</t>
        </is>
      </c>
      <c r="G14" s="57" t="inlineStr">
        <is>
          <t>Income/Deductions &gt; S Corporation Passthrough: box 1 ordinary income $82,000 (62,000 + 1245 recapture 20,000 = FMV 32,000 - adjusted basis 12,000; accumulated depreciation 33,000 &gt; gain); property distribution at FMV $32,000 (16D total $72,000). Prepare Form 8082 (inconsistent treatment) identifying box 1 and 16D; e-file compatible. Gulfside agreed 09/02/2026 to amend the 1120-S (follow-up 11/15/2026).</t>
        </is>
      </c>
      <c r="H14" s="3" t="n">
        <v>20000</v>
      </c>
      <c r="I14" s="57" t="inlineStr">
        <is>
          <t>Signed Off</t>
        </is>
      </c>
      <c r="J14" s="57" t="inlineStr">
        <is>
          <t>Staff preparer</t>
        </is>
      </c>
      <c r="K14" s="57" t="inlineStr">
        <is>
          <t>M. Osei (senior)</t>
        </is>
      </c>
      <c r="L14" s="57" t="inlineStr">
        <is>
          <t>EVG1018-SX1 | Workbook tab 2. Diagnostics Log | IRC 311(b) / 1371(a): the corporation is treated as selling the property at FMV; Elena's basis in the truck = $32,000 (301(d)).</t>
        </is>
      </c>
    </row>
    <row r="15">
      <c r="A15" s="70" t="inlineStr">
        <is>
          <t>EVG1018</t>
        </is>
      </c>
      <c r="B15" s="70" t="n">
        <v>2025</v>
      </c>
      <c r="C15" s="70" t="inlineStr">
        <is>
          <t>none fired</t>
        </is>
      </c>
      <c r="D15" s="70" t="inlineStr">
        <is>
          <t>[No diagnostic - logged by preparer] Form 7203 ordering with a property distribution - gain first, distribution at FMV</t>
        </is>
      </c>
      <c r="E15" s="70" t="inlineStr">
        <is>
          <t>Basis/At-Risk/Passive</t>
        </is>
      </c>
      <c r="F15" s="70" t="inlineStr">
        <is>
          <t>Yes</t>
        </is>
      </c>
      <c r="G15" s="70" t="inlineStr">
        <is>
          <t>S Corporation Passthrough &gt; Basis Limitation section: beginning stock basis $95,000 (debt basis $0); increases $83,150 (box 1 82,000 incl. gain + interest 1,150) -&gt; $178,150; distributions at FMV $72,000 (cash 40,000 + truck 32,000) -&gt; no excess; then nondeductible expenses and charitable item -&gt; ending $101,750. Form 7203 attached.</t>
        </is>
      </c>
      <c r="H15" s="5" t="n">
        <v>72000</v>
      </c>
      <c r="I15" s="70" t="inlineStr">
        <is>
          <t>Signed Off</t>
        </is>
      </c>
      <c r="J15" s="70" t="inlineStr">
        <is>
          <t>Staff preparer</t>
        </is>
      </c>
      <c r="K15" s="70" t="inlineStr">
        <is>
          <t>M. Osei (senior)</t>
        </is>
      </c>
      <c r="L15" s="70" t="inlineStr">
        <is>
          <t>EVG1018-SX2 | Workbook tab 12. S-Corp Dual Basis</t>
        </is>
      </c>
    </row>
    <row r="16">
      <c r="A16" s="57" t="inlineStr">
        <is>
          <t>EVG1018</t>
        </is>
      </c>
      <c r="B16" s="57" t="n">
        <v>2025</v>
      </c>
      <c r="C16" s="57" t="inlineStr">
        <is>
          <t>none fired</t>
        </is>
      </c>
      <c r="D16" s="57" t="inlineStr">
        <is>
          <t>[No diagnostic - logged by preparer] QBI from K-1 Statement A omits the 1245 recapture; reduce for 2% shareholder health insurance</t>
        </is>
      </c>
      <c r="E16" s="57" t="inlineStr">
        <is>
          <t>Other</t>
        </is>
      </c>
      <c r="F16" s="57" t="inlineStr">
        <is>
          <t>Yes</t>
        </is>
      </c>
      <c r="G16" s="57" t="inlineStr">
        <is>
          <t>S Corporation Passthrough &gt; Section 199A: QBI $82,000 (1245 recapture is ordinary trade-or-business income) less 2% shareholder health deduction $7,800 = $74,200; W-2 wages $310,000 / UBIA $180,000 (not limiting - TI before QBI $149,250 &lt; $197,300). Deduction 20% = $14,840.</t>
        </is>
      </c>
      <c r="H16" s="3" t="n">
        <v>14840</v>
      </c>
      <c r="I16" s="57" t="inlineStr">
        <is>
          <t>Signed Off</t>
        </is>
      </c>
      <c r="J16" s="57" t="inlineStr">
        <is>
          <t>Staff preparer</t>
        </is>
      </c>
      <c r="K16" s="57" t="inlineStr">
        <is>
          <t>M. Osei (senior)</t>
        </is>
      </c>
      <c r="L16" s="57" t="inlineStr">
        <is>
          <t>EVG1018-SX3 | Workbook tab 2. Diagnostics Log</t>
        </is>
      </c>
    </row>
    <row r="17">
      <c r="A17" s="70" t="inlineStr">
        <is>
          <t>EVG1018</t>
        </is>
      </c>
      <c r="B17" s="70" t="n">
        <v>2025</v>
      </c>
      <c r="C17" s="70" t="inlineStr">
        <is>
          <t>none fired</t>
        </is>
      </c>
      <c r="D17" s="70" t="inlineStr">
        <is>
          <t>[No diagnostic - logged by preparer] Trust's final K-1: $18,400 suspended passive losses are a basis step-up, not a deduction</t>
        </is>
      </c>
      <c r="E17" s="70" t="inlineStr">
        <is>
          <t>Basis/At-Risk/Passive</t>
        </is>
      </c>
      <c r="F17" s="70" t="inlineStr">
        <is>
          <t>Yes</t>
        </is>
      </c>
      <c r="G17" s="70" t="inlineStr">
        <is>
          <t>K-1 (Form 1041) input: enter only interest $420, dividends $1,380 ($1,100 qualified) and box 11 code E LT capital loss carryover $3,200 (Schedule D line 14; $200 carries to 2026). No PAL deduction (IRC 469(j)(12)). Record condo basis $222,546 + $18,400 = $240,946 in PERM; 2026 Rental input: continue trust's 27.5-yr schedule on carryover building basis $174,546 and add the $14,431 increase as a new asset (assumption flagged).</t>
        </is>
      </c>
      <c r="H17" s="5" t="n">
        <v>18400</v>
      </c>
      <c r="I17" s="70" t="inlineStr">
        <is>
          <t>Signed Off</t>
        </is>
      </c>
      <c r="J17" s="70" t="inlineStr">
        <is>
          <t>Staff preparer</t>
        </is>
      </c>
      <c r="K17" s="70" t="inlineStr">
        <is>
          <t>M. Osei (senior)</t>
        </is>
      </c>
      <c r="L17" s="70" t="inlineStr">
        <is>
          <t>EVG1018-SX4 | Workbook tab 13. Trust Termination PAL | Use only the FINAL K-1 (08/21/2026); the June DRAFT ($410 interest) is superseded.</t>
        </is>
      </c>
    </row>
    <row r="18">
      <c r="A18" s="57" t="inlineStr">
        <is>
          <t>EVG1018</t>
        </is>
      </c>
      <c r="B18" s="57" t="n">
        <v>2025</v>
      </c>
      <c r="C18" s="57" t="inlineStr">
        <is>
          <t>none fired</t>
        </is>
      </c>
      <c r="D18" s="57" t="inlineStr">
        <is>
          <t>[No diagnostic - logged by preparer] 2% shareholder health insurance in W-2 box 14 - deduction needs its own input</t>
        </is>
      </c>
      <c r="E18" s="57" t="inlineStr">
        <is>
          <t>Other</t>
        </is>
      </c>
      <c r="F18" s="57" t="inlineStr">
        <is>
          <t>No</t>
        </is>
      </c>
      <c r="G18" s="57" t="inlineStr">
        <is>
          <t>Adjustments &gt; Self-Employed Health Insurance: $7,800, linked to Bayline (more-than-2% shareholder; premiums in box 1, not boxes 3/5 - confirmed). Limited to Bayline wages $90,000 (verify field path in current release).</t>
        </is>
      </c>
      <c r="H18" s="3" t="n">
        <v>7800</v>
      </c>
      <c r="I18" s="57" t="inlineStr">
        <is>
          <t>Signed Off</t>
        </is>
      </c>
      <c r="J18" s="57" t="inlineStr">
        <is>
          <t>Staff preparer</t>
        </is>
      </c>
      <c r="K18" s="57" t="inlineStr">
        <is>
          <t>M. Osei (senior)</t>
        </is>
      </c>
      <c r="L18" s="57" t="inlineStr">
        <is>
          <t>EVG1018-SX5 | Workbook tab 2. Diagnostics Log | Notice 2008-1.</t>
        </is>
      </c>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inlineStr">
        <is>
          <t>Elena Vasquez - Bayline Marine Services, Inc. (100%)</t>
        </is>
      </c>
      <c r="B15" s="3" t="n">
        <v>95000</v>
      </c>
      <c r="C15" s="3" t="n">
        <v>0</v>
      </c>
      <c r="D15" s="3" t="n">
        <v>83150</v>
      </c>
      <c r="E15" s="3" t="n">
        <v>72000</v>
      </c>
      <c r="F15" s="3">
        <f>MAX(0,E15-(B15+MAX(0,D15)))</f>
        <v/>
      </c>
      <c r="G15" s="3" t="inlineStr">
        <is>
          <t>Income 83,150 = box 1 82,000 (incl. 311(b) / 1245 gain 20,000) + interest 1,150 -&gt; 178,150 before distributions. Distributions at FMV: cash 40,000 + truck 32,000 = 72,000 -&gt; no excess. Then nondeductible + charity -&gt; ending 101,750.</t>
        </is>
      </c>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inlineStr">
        <is>
          <t>Rosa M. Delgado Trust - Clearwater FL condo (Gulf Palms 12B) distributed 09/15/2025</t>
        </is>
      </c>
      <c r="B12" s="3" t="n">
        <v>222546</v>
      </c>
      <c r="C12" s="3" t="n">
        <v>18400</v>
      </c>
      <c r="D12" s="3">
        <f>B12+C12</f>
        <v/>
      </c>
      <c r="E12" s="3" t="inlineStr">
        <is>
          <t>Y</t>
        </is>
      </c>
      <c r="F12" s="3" t="inlineStr">
        <is>
          <t>Final K-1 08/21/2026. Carryover basis (643(e), no 643(e)(3) election) + suspended PAL 18,400 (469(j)(12)) = 240,946. Not deductible by anyone. Building basis 174,546 + increase 14,431 (assumption: new 27.5-yr asset from 2026).</t>
        </is>
      </c>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2026-10-12T16:22:58Z</dcterms:modified>
  <cp:lastModifiedBy>Shane Kennedy</cp:lastModifiedBy>
  <cp:revision>0</cp:revision>
</cp:coreProperties>
</file>