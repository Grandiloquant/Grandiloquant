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EVG1020 - Ashley Turner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EVG1020-SX1</t>
        </is>
      </c>
      <c r="B4" s="100" t="inlineStr">
        <is>
          <t>5. Passive Activity (8582)</t>
        </is>
      </c>
      <c r="C4" s="100" t="inlineStr">
        <is>
          <t>Short-term rental treated as a passive rental with the $25,000 allowance</t>
        </is>
      </c>
      <c r="D4" s="100" t="inlineStr">
        <is>
          <t>Same - a rental defaults to passive with the special allowance unless the activity is marked nonpassive / material participation.</t>
        </is>
      </c>
      <c r="E4" s="100" t="inlineStr">
        <is>
          <t>Rental &amp; Royalty Income (Sch E): property type 'Short-term rental'; check 'Materially participated' / not a passive activity; Form 8582 not generated (screen/field per current release - verify).</t>
        </is>
      </c>
      <c r="F4" s="100" t="inlineStr"/>
      <c r="G4" s="100" t="inlineStr">
        <is>
          <t>None</t>
        </is>
      </c>
      <c r="H4" s="100" t="n">
        <v>-15147</v>
      </c>
    </row>
    <row r="5">
      <c r="A5" s="100" t="inlineStr">
        <is>
          <t>EVG1020-SX2</t>
        </is>
      </c>
      <c r="B5" s="100" t="inlineStr">
        <is>
          <t>16. Vacation Home Allocation</t>
        </is>
      </c>
      <c r="C5" s="100" t="inlineStr">
        <is>
          <t>Personal-use days - 280A(e) allocation of shared expenses (not the vacation-home limit)</t>
        </is>
      </c>
      <c r="D5" s="100" t="inlineStr">
        <is>
          <t>Same - expenses are prorated only when personal-use days are entered.</t>
        </is>
      </c>
      <c r="E5" s="100" t="inlineStr">
        <is>
          <t>Rental &amp; Royalty Income: 'Days rented at fair rental value' 192, 'Personal use days' 6; vacation-home limitation not applicable (screen/field per current release - verify).</t>
        </is>
      </c>
      <c r="F5" s="100" t="inlineStr"/>
      <c r="G5" s="100" t="inlineStr">
        <is>
          <t>None</t>
        </is>
      </c>
      <c r="H5" s="100" t="n">
        <v>54616</v>
      </c>
    </row>
    <row r="6">
      <c r="A6" s="100" t="inlineStr">
        <is>
          <t>EVG1020-SX3</t>
        </is>
      </c>
      <c r="B6" s="100" t="inlineStr">
        <is>
          <t>2. Diagnostics Log</t>
        </is>
      </c>
      <c r="C6" s="100" t="inlineStr">
        <is>
          <t>STR building life (39-yr, transient use) and 100% bonus on furniture acquired after 01/19/2025</t>
        </is>
      </c>
      <c r="D6" s="100" t="inlineStr">
        <is>
          <t>Same - asset method/life follow the asset category chosen; bonus % follows the acquisition date entered.</t>
        </is>
      </c>
      <c r="E6" s="100" t="inlineStr">
        <is>
          <t>Rental &gt; Depreciation: building as nonresidential real property (39-yr, MM); furniture 5-yr with acquisition date after 01/19/2025 so 100% special allowance applies (screen/field per current release - verify).</t>
        </is>
      </c>
      <c r="F6" s="100" t="inlineStr"/>
      <c r="G6" s="100" t="inlineStr">
        <is>
          <t>None</t>
        </is>
      </c>
      <c r="H6" s="100" t="n">
        <v>6005</v>
      </c>
    </row>
    <row r="7">
      <c r="A7" s="100" t="inlineStr">
        <is>
          <t>EVG1020-SX4</t>
        </is>
      </c>
      <c r="B7" s="100" t="inlineStr">
        <is>
          <t>7. Multi-State Allocation</t>
        </is>
      </c>
      <c r="C7" s="100" t="inlineStr">
        <is>
          <t>NC casino W-2G - NC nonresident D-400 / Schedule PN not created automatically</t>
        </is>
      </c>
      <c r="D7" s="100" t="inlineStr">
        <is>
          <t>Same - the nonresident state return must be activated and the W-2G sourced to NC.</t>
        </is>
      </c>
      <c r="E7" s="100" t="inlineStr">
        <is>
          <t>State &gt; North Carolina (nonresident): source the W-2G winnings to NC and enter NC withholding 510 (screen/field per current release - verify).</t>
        </is>
      </c>
      <c r="F7" s="100" t="inlineStr"/>
      <c r="G7" s="100" t="inlineStr">
        <is>
          <t>NC D-400 nonresident e-filed</t>
        </is>
      </c>
      <c r="H7" s="100" t="n">
        <v>437</v>
      </c>
    </row>
    <row r="8">
      <c r="A8" s="100" t="inlineStr">
        <is>
          <t>EVG1020-SX5</t>
        </is>
      </c>
      <c r="B8" s="100" t="inlineStr">
        <is>
          <t>2. Diagnostics Log</t>
        </is>
      </c>
      <c r="C8" s="100" t="inlineStr">
        <is>
          <t>Rental not flagged as a QBI trade or business - $15,147 QBI loss carryforward dropped</t>
        </is>
      </c>
      <c r="D8" s="100" t="inlineStr">
        <is>
          <t>Same - the rental must be designated as a QBI trade or business for the loss to carry forward.</t>
        </is>
      </c>
      <c r="E8" s="100" t="inlineStr">
        <is>
          <t>Rental &amp; Royalty Income &gt; Qualified Business Income (199A): 'Trade or business' = Yes (field per current release - verify).</t>
        </is>
      </c>
      <c r="F8" s="100" t="inlineStr"/>
      <c r="G8" s="100" t="inlineStr">
        <is>
          <t>None</t>
        </is>
      </c>
      <c r="H8" s="100" t="n">
        <v>-15147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EVG1020</t>
        </is>
      </c>
      <c r="B14" s="57" t="n">
        <v>2025</v>
      </c>
      <c r="C14" s="57" t="inlineStr">
        <is>
          <t>none fired</t>
        </is>
      </c>
      <c r="D14" s="57" t="inlineStr">
        <is>
          <t>[No diagnostic - logged by preparer] Short-term rental treated as a passive rental with the $25,000 allowance</t>
        </is>
      </c>
      <c r="E14" s="57" t="inlineStr">
        <is>
          <t>Basis/At-Risk/Passive</t>
        </is>
      </c>
      <c r="F14" s="57" t="inlineStr">
        <is>
          <t>Yes</t>
        </is>
      </c>
      <c r="G14" s="57" t="inlineStr">
        <is>
          <t>Rental and Royalty Income (Schedule E): property type 3 (short-term rental); activity is NOT a rental activity for 469 (average stay 192/62 = 3.10 nights &lt;= 7 - Reg. 1.469-1T(e)(3)(ii)(A)); material participation = Yes (test 3: 180 hours, more than the cleaner's ~95). Nonpassive -&gt; no Form 8582; loss offsets wages. No substantial services -&gt; stays on Schedule E, no SE tax (verify field names in current release).</t>
        </is>
      </c>
      <c r="H14" s="3" t="n">
        <v>-15147</v>
      </c>
      <c r="I14" s="57" t="inlineStr">
        <is>
          <t>Signed Off</t>
        </is>
      </c>
      <c r="J14" s="57" t="inlineStr">
        <is>
          <t>Staff preparer</t>
        </is>
      </c>
      <c r="K14" s="57" t="inlineStr">
        <is>
          <t>L. Chen (senior)</t>
        </is>
      </c>
      <c r="L14" s="57" t="inlineStr">
        <is>
          <t>EVG1020-SX1 | Workbook tab 5. Passive Activity (8582) | Audit-exposed position: contemporaneous dated hours log advised for 2026; the average-stay test is annual.</t>
        </is>
      </c>
    </row>
    <row r="15">
      <c r="A15" s="70" t="inlineStr">
        <is>
          <t>EVG1020</t>
        </is>
      </c>
      <c r="B15" s="70" t="n">
        <v>2025</v>
      </c>
      <c r="C15" s="70" t="inlineStr">
        <is>
          <t>none fired</t>
        </is>
      </c>
      <c r="D15" s="70" t="inlineStr">
        <is>
          <t>[No diagnostic - logged by preparer] Personal-use days - 280A(e) allocation of shared expenses (not the vacation-home limit)</t>
        </is>
      </c>
      <c r="E15" s="70" t="inlineStr">
        <is>
          <t>Other</t>
        </is>
      </c>
      <c r="F15" s="70" t="inlineStr">
        <is>
          <t>No</t>
        </is>
      </c>
      <c r="G15" s="70" t="inlineStr">
        <is>
          <t>Rental input: days rented at fair rental 192; personal-use days 6 (10/12-10/18; the two August repair days are not personal days). Shared expenses $56,323 (incl. depreciation) x 192/198 = 96.97% -&gt; $54,616. Guest-only costs 100% rental. Personal share of property tax ($66) to Schedule A; personal mortgage interest ($429) nondeductible.</t>
        </is>
      </c>
      <c r="H15" s="5" t="n">
        <v>54616</v>
      </c>
      <c r="I15" s="70" t="inlineStr">
        <is>
          <t>Signed Off</t>
        </is>
      </c>
      <c r="J15" s="70" t="inlineStr">
        <is>
          <t>Staff preparer</t>
        </is>
      </c>
      <c r="K15" s="70" t="inlineStr">
        <is>
          <t>L. Chen (senior)</t>
        </is>
      </c>
      <c r="L15" s="70" t="inlineStr">
        <is>
          <t>EVG1020-SX2 | Workbook tab 16. Vacation Home Allocation</t>
        </is>
      </c>
    </row>
    <row r="16">
      <c r="A16" s="57" t="inlineStr">
        <is>
          <t>EVG1020</t>
        </is>
      </c>
      <c r="B16" s="57" t="n">
        <v>2025</v>
      </c>
      <c r="C16" s="57" t="inlineStr">
        <is>
          <t>none fired</t>
        </is>
      </c>
      <c r="D16" s="57" t="inlineStr">
        <is>
          <t>[No diagnostic - logged by preparer] STR building life (39-yr, transient use) and 100% bonus on furniture acquired after 01/19/2025</t>
        </is>
      </c>
      <c r="E16" s="57" t="inlineStr">
        <is>
          <t>Depreciation</t>
        </is>
      </c>
      <c r="F16" s="57" t="inlineStr">
        <is>
          <t>Yes</t>
        </is>
      </c>
      <c r="G16" s="57" t="inlineStr">
        <is>
          <t>Depreciation (4562) for the rental: building $330,148 (basis $388,410 incl. $3,410 closing costs; land $58,262 by assessor ratio) = 39-year nonresidential SL MM, PIS 04/2025 -&gt; $6,005 (a unit used predominantly by transients is not a 'dwelling unit' - 168(e)(2)(A); 27.5-yr is the aggressive alternative, signer agreed 39). Furniture $24,600 5-yr, acquisition dates 03/22-03/30/2025 -&gt; 100% special allowance. Loan costs $4,510 amortized 360 months ($113 for 9).</t>
        </is>
      </c>
      <c r="H16" s="3" t="n">
        <v>6005</v>
      </c>
      <c r="I16" s="57" t="inlineStr">
        <is>
          <t>Signed Off</t>
        </is>
      </c>
      <c r="J16" s="57" t="inlineStr">
        <is>
          <t>Staff preparer</t>
        </is>
      </c>
      <c r="K16" s="57" t="inlineStr">
        <is>
          <t>L. Chen (senior)</t>
        </is>
      </c>
      <c r="L16" s="57" t="inlineStr">
        <is>
          <t>EVG1020-SX3 | Workbook tab 2. Diagnostics Log</t>
        </is>
      </c>
    </row>
    <row r="17">
      <c r="A17" s="70" t="inlineStr">
        <is>
          <t>EVG1020</t>
        </is>
      </c>
      <c r="B17" s="70" t="n">
        <v>2025</v>
      </c>
      <c r="C17" s="70" t="inlineStr">
        <is>
          <t>none fired</t>
        </is>
      </c>
      <c r="D17" s="70" t="inlineStr">
        <is>
          <t>[No diagnostic - logged by preparer] NC casino W-2G - NC nonresident D-400 / Schedule PN not created automatically</t>
        </is>
      </c>
      <c r="E17" s="70" t="inlineStr">
        <is>
          <t>State Allocation</t>
        </is>
      </c>
      <c r="F17" s="70" t="inlineStr">
        <is>
          <t>No</t>
        </is>
      </c>
      <c r="G17" s="70" t="inlineStr">
        <is>
          <t>Add North Carolina nonresident (D-400 with Schedule PN): NC-source income = gambling winnings $12,000 of federal AGI $89,104 = 13.47%; NC standard $12,750 (no NC gambling-loss deduction) -&gt; NC TI $76,354 x 13.47% = $10,285 x 4.25% = $437; withholding $510 -&gt; refund $73. No resident credit (TN has no income tax).</t>
        </is>
      </c>
      <c r="H17" s="5" t="n">
        <v>437</v>
      </c>
      <c r="I17" s="70" t="inlineStr">
        <is>
          <t>Signed Off</t>
        </is>
      </c>
      <c r="J17" s="70" t="inlineStr">
        <is>
          <t>Staff preparer</t>
        </is>
      </c>
      <c r="K17" s="70" t="inlineStr">
        <is>
          <t>L. Chen (senior)</t>
        </is>
      </c>
      <c r="L17" s="70" t="inlineStr">
        <is>
          <t>EVG1020-SX4 | Workbook tab 7. Multi-State Allocation</t>
        </is>
      </c>
    </row>
    <row r="18">
      <c r="A18" s="57" t="inlineStr">
        <is>
          <t>EVG1020</t>
        </is>
      </c>
      <c r="B18" s="57" t="n">
        <v>2025</v>
      </c>
      <c r="C18" s="57" t="inlineStr">
        <is>
          <t>none fired</t>
        </is>
      </c>
      <c r="D18" s="57" t="inlineStr">
        <is>
          <t>[No diagnostic - logged by preparer] Rental not flagged as a QBI trade or business - $15,147 QBI loss carryforward dropped</t>
        </is>
      </c>
      <c r="E18" s="57" t="inlineStr">
        <is>
          <t>Other</t>
        </is>
      </c>
      <c r="F18" s="57" t="inlineStr">
        <is>
          <t>No</t>
        </is>
      </c>
      <c r="G18" s="57" t="inlineStr">
        <is>
          <t>Rental input &gt; Section 199A: mark the STR as a qualified trade or business (self-managed, regular and continuous); Form 8995 shows QBI (15,147) -&gt; deduction $0, QBI loss carryforward $15,147 to 2026 (PERM / carryforward report).</t>
        </is>
      </c>
      <c r="H18" s="3" t="n">
        <v>-15147</v>
      </c>
      <c r="I18" s="57" t="inlineStr">
        <is>
          <t>Signed Off</t>
        </is>
      </c>
      <c r="J18" s="57" t="inlineStr">
        <is>
          <t>Staff preparer</t>
        </is>
      </c>
      <c r="K18" s="57" t="inlineStr">
        <is>
          <t>L. Chen (senior)</t>
        </is>
      </c>
      <c r="L18" s="57" t="inlineStr">
        <is>
          <t>EVG1020-SX5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Gatlinburg condo - Airbnb STR (avg stay 3.10 nights)</t>
        </is>
      </c>
      <c r="B13" s="57" t="inlineStr">
        <is>
          <t>N - not a rental activity (&lt;= 7-day avg stay)</t>
        </is>
      </c>
      <c r="C13" s="3" t="n">
        <v>15147</v>
      </c>
      <c r="D13" s="3" t="n">
        <v>0</v>
      </c>
      <c r="E13" s="3">
        <f>C13-D13</f>
        <v/>
      </c>
      <c r="F13" s="57" t="inlineStr">
        <is>
          <t>NOT a passive activity: material participation test 3 (180 hrs &gt; cleaner ~95). Shown only to document why the 8582/$25k default is wrong - the allowance below would have masked it in 2025.</t>
        </is>
      </c>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89104</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inlineStr">
        <is>
          <t>NC (nonresident - W-2G Harrah's Cherokee)</t>
        </is>
      </c>
      <c r="B12" s="3" t="n">
        <v>89104</v>
      </c>
      <c r="C12" s="3" t="n">
        <v>12000</v>
      </c>
      <c r="D12" s="12">
        <f>IF(B12=0,0,C12/B12)</f>
        <v/>
      </c>
      <c r="E12" s="3" t="n">
        <v>437</v>
      </c>
      <c r="F12" s="3">
        <f>MIN(E12,G12*D12)</f>
        <v/>
      </c>
      <c r="G12" t="n">
        <v>0</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inlineStr">
        <is>
          <t>Gatlinburg condo (STR)</t>
        </is>
      </c>
      <c r="B12" s="3" t="n">
        <v>6</v>
      </c>
      <c r="C12" s="3" t="n">
        <v>192</v>
      </c>
      <c r="D12" s="3">
        <f>IF(C12=0,0,C12/365)</f>
        <v/>
      </c>
      <c r="E12" s="3">
        <f>IF((B12+C12)=0,0,C12/(B12+C12))</f>
        <v/>
      </c>
      <c r="F12" s="3" t="n">
        <v>56323.07</v>
      </c>
      <c r="G12" s="3" t="inlineStr">
        <is>
          <t>IRS method 280A(e): 192/198 = 96.97% on shared costs (incl. depreciation) -&gt; 54,616 rental. Bolton not relevant - personal use &lt; greater of 14 days / 10% of rental days, so not a residence and no 280A(c)(5) income limit.</t>
        </is>
      </c>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2026-10-05T20:15:33Z</dcterms:modified>
  <cp:lastModifiedBy>Shane Kennedy</cp:lastModifiedBy>
  <cp:revision>0</cp:revision>
</cp:coreProperties>
</file>