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EVG1012 - Walter &amp; June Hoffman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EVG1012-SX1</t>
        </is>
      </c>
      <c r="B4" s="100" t="inlineStr">
        <is>
          <t>2. Diagnostics Log</t>
        </is>
      </c>
      <c r="C4" s="100" t="inlineStr">
        <is>
          <t>Installment sale year 2 - proforma'd Form 6252 computes $0 when 2025 payments are blank</t>
        </is>
      </c>
      <c r="D4" s="100" t="inlineStr">
        <is>
          <t>Same - the installment sale carries forward from the prior year, but the current-year payment must be entered; blank = no gain.</t>
        </is>
      </c>
      <c r="E4" s="100" t="inlineStr">
        <is>
          <t>Dispositions &gt; Installment Sale (6252): enter 2025 payments received (principal) $23,126; confirm gross profit % 73.0952% carried from 2024 and line 26 gain $16,904 (field names per current release - verify).</t>
        </is>
      </c>
      <c r="F4" s="100" t="inlineStr"/>
      <c r="G4" s="100" t="inlineStr">
        <is>
          <t>None</t>
        </is>
      </c>
      <c r="H4" s="100" t="n">
        <v>16904</v>
      </c>
    </row>
    <row r="5">
      <c r="A5" s="100" t="inlineStr">
        <is>
          <t>EVG1012-SX2</t>
        </is>
      </c>
      <c r="B5" s="100" t="inlineStr">
        <is>
          <t>2. Diagnostics Log</t>
        </is>
      </c>
      <c r="C5" s="100" t="inlineStr">
        <is>
          <t>Seller-financed mortgage interest - buyer's name, SSN and address must print first on Schedule B</t>
        </is>
      </c>
      <c r="D5" s="100" t="inlineStr">
        <is>
          <t>Same - the seller-financed indicator and buyer information must be entered on the interest input.</t>
        </is>
      </c>
      <c r="E5" s="100" t="inlineStr">
        <is>
          <t>Income &gt; Interest Income (1099-INT, 1099-OID): enter the Caldwell note as a separate payer with the 'seller-financed mortgage' option and the buyer's SSN/address (screen/field per current release - verify).</t>
        </is>
      </c>
      <c r="F5" s="100" t="inlineStr"/>
      <c r="G5" s="100" t="inlineStr">
        <is>
          <t>None ($50 penalty for omitting the buyer SSN)</t>
        </is>
      </c>
      <c r="H5" s="100" t="n">
        <v>17983</v>
      </c>
    </row>
    <row r="6">
      <c r="A6" s="100" t="inlineStr">
        <is>
          <t>EVG1012-SX3</t>
        </is>
      </c>
      <c r="B6" s="100" t="inlineStr">
        <is>
          <t>2. Diagnostics Log</t>
        </is>
      </c>
      <c r="C6" s="100" t="inlineStr">
        <is>
          <t>NC Bailey settlement - June's TSERS pension taxed by default</t>
        </is>
      </c>
      <c r="D6" s="100" t="inlineStr">
        <is>
          <t>Same - the Bailey deduction is driven by a state-specific input per 1099-R.</t>
        </is>
      </c>
      <c r="E6" s="100" t="inlineStr">
        <is>
          <t>North Carolina return &gt; retirement benefits (Bailey) input for June's TSERS 1099-R = $30,788 (screen/field per current release - verify).</t>
        </is>
      </c>
      <c r="F6" s="100" t="inlineStr"/>
      <c r="G6" s="100" t="inlineStr">
        <is>
          <t>NC D-400 e-filed</t>
        </is>
      </c>
      <c r="H6" s="100" t="n">
        <v>30788</v>
      </c>
    </row>
    <row r="7">
      <c r="A7" s="100" t="inlineStr">
        <is>
          <t>EVG1012-SX4</t>
        </is>
      </c>
      <c r="B7" s="100" t="inlineStr">
        <is>
          <t>8. Est. Tax Penalty (2210)</t>
        </is>
      </c>
      <c r="C7" s="100" t="inlineStr">
        <is>
          <t>Form 2210 - 110% prior-year safe harbor missed, 90% current-year test met; 2026 vouchers</t>
        </is>
      </c>
      <c r="D7" s="100" t="inlineStr">
        <is>
          <t>Same calculation - ProConnect uses the lesser of the 90% / 110% tests from the prior-year data entered.</t>
        </is>
      </c>
      <c r="E7" s="100" t="inlineStr">
        <is>
          <t>Payments, Penalties &amp; Extensions: confirm 2024 tax $20,486 and AGI $171,273 are entered; no penalty override. 2026 estimate vouchers: 110% method (screen per current release - verify).</t>
        </is>
      </c>
      <c r="F7" s="100" t="inlineStr"/>
      <c r="G7" s="100" t="inlineStr">
        <is>
          <t>None</t>
        </is>
      </c>
      <c r="H7" s="1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EVG1012</t>
        </is>
      </c>
      <c r="B14" s="57" t="n">
        <v>2025</v>
      </c>
      <c r="C14" s="57" t="inlineStr">
        <is>
          <t>none fired</t>
        </is>
      </c>
      <c r="D14" s="57" t="inlineStr">
        <is>
          <t>[No diagnostic - logged by preparer] Installment sale year 2 - proforma'd Form 6252 computes $0 when 2025 payments are blank</t>
        </is>
      </c>
      <c r="E14" s="57" t="inlineStr">
        <is>
          <t>Other</t>
        </is>
      </c>
      <c r="F14" s="57" t="inlineStr">
        <is>
          <t>Yes</t>
        </is>
      </c>
      <c r="G14" s="57" t="inlineStr">
        <is>
          <t>Gains and Losses &gt; Installment Sales (Form 6252), Caldwell land note: 2025 principal received $23,126 (11 payments, amortization-schedule split - interest first). Gain = 23,126 x 73.0952% = $16,904 LT (Schedule D line 11). No 1250/1245 recapture (unimproved land). Payment 12 (received 01/06/2026) goes to 2026.</t>
        </is>
      </c>
      <c r="H14" s="3" t="n">
        <v>16904</v>
      </c>
      <c r="I14" s="57" t="inlineStr">
        <is>
          <t>Signed Off</t>
        </is>
      </c>
      <c r="J14" s="57" t="inlineStr">
        <is>
          <t>Staff preparer</t>
        </is>
      </c>
      <c r="K14" s="57" t="inlineStr">
        <is>
          <t>L. Chen (senior)</t>
        </is>
      </c>
      <c r="L14" s="57" t="inlineStr">
        <is>
          <t>EVG1012-SX1 | Workbook tab 2. Diagnostics Log | Cash-basis: payments count when received. PERM note balance 12/31/2025 $312,874.</t>
        </is>
      </c>
    </row>
    <row r="15">
      <c r="A15" s="70" t="inlineStr">
        <is>
          <t>EVG1012</t>
        </is>
      </c>
      <c r="B15" s="70" t="n">
        <v>2025</v>
      </c>
      <c r="C15" s="70" t="inlineStr">
        <is>
          <t>none fired</t>
        </is>
      </c>
      <c r="D15" s="70" t="inlineStr">
        <is>
          <t>[No diagnostic - logged by preparer] Seller-financed mortgage interest - buyer's name, SSN and address must print first on Schedule B</t>
        </is>
      </c>
      <c r="E15" s="70" t="inlineStr">
        <is>
          <t>Other</t>
        </is>
      </c>
      <c r="F15" s="70" t="inlineStr">
        <is>
          <t>Yes</t>
        </is>
      </c>
      <c r="G15" s="70" t="inlineStr">
        <is>
          <t>Income &gt; Interest Income: payer 'Aaron M. &amp; Beth L. Caldwell', mark as seller-financed mortgage (buyer used property as a personal residence), enter buyer SSN XXX-XX-6641 and address; amount $17,983 = amortization-schedule interest on 11 payments $17,908 + $75 late charge (verify field path in current release).</t>
        </is>
      </c>
      <c r="H15" s="5" t="n">
        <v>17983</v>
      </c>
      <c r="I15" s="70" t="inlineStr">
        <is>
          <t>Signed Off</t>
        </is>
      </c>
      <c r="J15" s="70" t="inlineStr">
        <is>
          <t>Staff preparer</t>
        </is>
      </c>
      <c r="K15" s="70" t="inlineStr">
        <is>
          <t>L. Chen (senior)</t>
        </is>
      </c>
      <c r="L15" s="70" t="inlineStr">
        <is>
          <t>EVG1012-SX2 | Workbook tab 2. Diagnostics Log</t>
        </is>
      </c>
    </row>
    <row r="16">
      <c r="A16" s="57" t="inlineStr">
        <is>
          <t>EVG1012</t>
        </is>
      </c>
      <c r="B16" s="57" t="n">
        <v>2025</v>
      </c>
      <c r="C16" s="57" t="inlineStr">
        <is>
          <t>none fired</t>
        </is>
      </c>
      <c r="D16" s="57" t="inlineStr">
        <is>
          <t>[No diagnostic - logged by preparer] NC Bailey settlement - June's TSERS pension taxed by default</t>
        </is>
      </c>
      <c r="E16" s="57" t="inlineStr">
        <is>
          <t>State Allocation</t>
        </is>
      </c>
      <c r="F16" s="57" t="inlineStr">
        <is>
          <t>No</t>
        </is>
      </c>
      <c r="G16" s="57" t="inlineStr">
        <is>
          <t>North Carolina &gt; Retirement/Schedule S deductions: mark June's TSERS 1099-R as Bailey-exempt (5+ years creditable service as of 08/12/1989 - PERM). Schedule S: SS $49,317 + Bailey $30,788. Leave Walter's pension and IRA taxable. NC taxable income $51,829; tax $2,203 (verify field path in current release).</t>
        </is>
      </c>
      <c r="H16" s="3" t="n">
        <v>30788</v>
      </c>
      <c r="I16" s="57" t="inlineStr">
        <is>
          <t>Signed Off</t>
        </is>
      </c>
      <c r="J16" s="57" t="inlineStr">
        <is>
          <t>Staff preparer</t>
        </is>
      </c>
      <c r="K16" s="57" t="inlineStr">
        <is>
          <t>L. Chen (senior)</t>
        </is>
      </c>
      <c r="L16" s="57" t="inlineStr">
        <is>
          <t>EVG1012-SX3 | Workbook tab 2. Diagnostics Log</t>
        </is>
      </c>
    </row>
    <row r="17">
      <c r="A17" s="70" t="inlineStr">
        <is>
          <t>EVG1012</t>
        </is>
      </c>
      <c r="B17" s="70" t="n">
        <v>2025</v>
      </c>
      <c r="C17" s="70" t="inlineStr">
        <is>
          <t>none fired</t>
        </is>
      </c>
      <c r="D17" s="70" t="inlineStr">
        <is>
          <t>[No diagnostic - logged by preparer] Form 2210 - 110% prior-year safe harbor missed, 90% current-year test met; 2026 vouchers</t>
        </is>
      </c>
      <c r="E17" s="70" t="inlineStr">
        <is>
          <t>Est. Tax Penalty</t>
        </is>
      </c>
      <c r="F17" s="70" t="inlineStr">
        <is>
          <t>Yes</t>
        </is>
      </c>
      <c r="G17" s="70" t="inlineStr">
        <is>
          <t>Penalties and Interest: no override, no waiver - regular method; required annual payment $11,535 (90% of 2025 tax) is met every quarter. Estimates input for 2026: let the 110% method compute vouchers (or document a 90%-of-2026 projection if the clients prefer $1,500/quarter).</t>
        </is>
      </c>
      <c r="H17" s="5" t="n">
        <v>0</v>
      </c>
      <c r="I17" s="70" t="inlineStr">
        <is>
          <t>Signed Off</t>
        </is>
      </c>
      <c r="J17" s="70" t="inlineStr">
        <is>
          <t>Staff preparer</t>
        </is>
      </c>
      <c r="K17" s="70" t="inlineStr">
        <is>
          <t>L. Chen (senior)</t>
        </is>
      </c>
      <c r="L17" s="70" t="inlineStr">
        <is>
          <t>EVG1012-SX4 | Workbook tab 8. Est. Tax Penalty (2210) | Caught in v2 review: the draft open item applied the 100% rule (2025 AGI $157,434 &gt; $150,000). Preparer Notes now recommend 4 x $1,830 federal estimates for 2026.</t>
        </is>
      </c>
    </row>
    <row r="18">
      <c r="A18" s="57" t="n"/>
      <c r="B18" s="57" t="n"/>
      <c r="C18" s="57" t="n"/>
      <c r="D18" s="57" t="n"/>
      <c r="E18" s="57" t="n"/>
      <c r="F18" s="57" t="n"/>
      <c r="G18" s="57" t="n"/>
      <c r="H18" s="3" t="n"/>
      <c r="I18" s="57" t="n"/>
      <c r="J18" s="57" t="n"/>
      <c r="K18" s="57" t="n"/>
      <c r="L18" s="57" t="n"/>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v>12817</v>
      </c>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v>171273</v>
      </c>
      <c r="F14" s="57" t="n"/>
    </row>
    <row r="15" ht="25.5" customHeight="1">
      <c r="A15" s="71" t="inlineStr">
        <is>
          <t>Prior-Year Tax</t>
        </is>
      </c>
      <c r="B15" s="97" t="n"/>
      <c r="C15" s="97" t="n"/>
      <c r="D15" s="96" t="n"/>
      <c r="E15" s="5" t="n">
        <v>20486</v>
      </c>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v>12780</v>
      </c>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v>3195</v>
      </c>
      <c r="D25" s="57" t="inlineStr">
        <is>
          <t>Y</t>
        </is>
      </c>
      <c r="E25" s="3">
        <f>MAX(0,B25-C25)</f>
        <v/>
      </c>
      <c r="F25" s="57" t="inlineStr">
        <is>
          <t>1099-R withholding 6,780 treated as paid evenly (1,695/qtr) + 1,500 estimate 04/15/2025</t>
        </is>
      </c>
    </row>
    <row r="26">
      <c r="A26" s="70" t="inlineStr">
        <is>
          <t>Q2 (6/15)</t>
        </is>
      </c>
      <c r="B26" s="5">
        <f>$E$18*0.25</f>
        <v/>
      </c>
      <c r="C26" s="5" t="n">
        <v>3195</v>
      </c>
      <c r="D26" s="70" t="inlineStr">
        <is>
          <t>Y</t>
        </is>
      </c>
      <c r="E26" s="5">
        <f>MAX(0,B26-C26)</f>
        <v/>
      </c>
      <c r="F26" s="70" t="inlineStr">
        <is>
          <t>1,695 + 1,500 estimate 06/16/2025</t>
        </is>
      </c>
    </row>
    <row r="27">
      <c r="A27" s="57" t="inlineStr">
        <is>
          <t>Q3 (9/15)</t>
        </is>
      </c>
      <c r="B27" s="3">
        <f>$E$18*0.25</f>
        <v/>
      </c>
      <c r="C27" s="3" t="n">
        <v>3195</v>
      </c>
      <c r="D27" s="57" t="inlineStr">
        <is>
          <t>Y</t>
        </is>
      </c>
      <c r="E27" s="3">
        <f>MAX(0,B27-C27)</f>
        <v/>
      </c>
      <c r="F27" s="57" t="inlineStr">
        <is>
          <t>1,695 + 1,500 estimate 09/15/2025</t>
        </is>
      </c>
    </row>
    <row r="28">
      <c r="A28" s="70" t="inlineStr">
        <is>
          <t>Q4 (1/15 following yr)</t>
        </is>
      </c>
      <c r="B28" s="5">
        <f>$E$18*0.25</f>
        <v/>
      </c>
      <c r="C28" s="5" t="n">
        <v>3195</v>
      </c>
      <c r="D28" s="70" t="inlineStr">
        <is>
          <t>Y</t>
        </is>
      </c>
      <c r="E28" s="5">
        <f>MAX(0,B28-C28)</f>
        <v/>
      </c>
      <c r="F28" s="70" t="inlineStr">
        <is>
          <t>1,695 + 1,500 estimate paid 01/15/2026 (timely for 2025)</t>
        </is>
      </c>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2026-10-12T16:22:56Z</dcterms:modified>
  <cp:lastModifiedBy>Shane Kennedy</cp:lastModifiedBy>
  <cp:revision>0</cp:revision>
</cp:coreProperties>
</file>