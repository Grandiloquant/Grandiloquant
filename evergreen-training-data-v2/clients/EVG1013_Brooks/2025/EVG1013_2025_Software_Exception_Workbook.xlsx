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EVG1013 - Nathan Brooks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EVG1013-SX1</t>
        </is>
      </c>
      <c r="B4" s="100" t="inlineStr">
        <is>
          <t>17. Equity Comp &amp; Wash Sales</t>
        </is>
      </c>
      <c r="C4" s="100" t="inlineStr">
        <is>
          <t>NSO same-day sale - 1099-B basis is the exercise price only (spread taxed twice)</t>
        </is>
      </c>
      <c r="D4" s="100" t="inlineStr">
        <is>
          <t>Same - ProConnect uses the 1099-B basis as entered/imported; it does not read W-2 code V against the 1099-B.</t>
        </is>
      </c>
      <c r="E4" s="100" t="inlineStr">
        <is>
          <t>Dispositions: on the PLXR sale enter adjustment code B and adjustment amount -22,000 (or 'Adjustment to gain/loss' with code B); keep 1099-B basis as reported (field per current release - verify).</t>
        </is>
      </c>
      <c r="F4" s="100" t="inlineStr"/>
      <c r="G4" s="100" t="inlineStr">
        <is>
          <t>None</t>
        </is>
      </c>
      <c r="H4" s="100" t="n">
        <v>-22000</v>
      </c>
    </row>
    <row r="5">
      <c r="A5" s="100" t="inlineStr">
        <is>
          <t>EVG1013-SX2</t>
        </is>
      </c>
      <c r="B5" s="100" t="inlineStr">
        <is>
          <t>17. Equity Comp &amp; Wash Sales</t>
        </is>
      </c>
      <c r="C5" s="100" t="inlineStr">
        <is>
          <t>ISO exercise-and-hold - Form 3921 is not picked up, so the $50,000 AMT adjustment is missing</t>
        </is>
      </c>
      <c r="D5" s="100" t="inlineStr">
        <is>
          <t>Same - an ISO exercise without a sale needs a manual AMT adjustment entry; the 3921 has nothing to import.</t>
        </is>
      </c>
      <c r="E5" s="100" t="inlineStr">
        <is>
          <t>Form 6251 adjustments input: Incentive stock options = 50,000 (or the ISO/3921 input if available); confirm Form 8801 carryforward 4,346 for 2026 (screen/field per current release - verify).</t>
        </is>
      </c>
      <c r="F5" s="100" t="inlineStr"/>
      <c r="G5" s="100" t="inlineStr">
        <is>
          <t>None</t>
        </is>
      </c>
      <c r="H5" s="100" t="n">
        <v>50000</v>
      </c>
    </row>
    <row r="6">
      <c r="A6" s="100" t="inlineStr">
        <is>
          <t>EVG1013-SX3</t>
        </is>
      </c>
      <c r="B6" s="100" t="inlineStr">
        <is>
          <t>2. Diagnostics Log</t>
        </is>
      </c>
      <c r="C6" s="100" t="inlineStr">
        <is>
          <t>HSA excess contribution - Form 5329 excise computed though excess was withdrawn by the due date</t>
        </is>
      </c>
      <c r="D6" s="100" t="inlineStr">
        <is>
          <t>Same - Form 5329 excise is computed on any excess not marked as withdrawn timely.</t>
        </is>
      </c>
      <c r="E6" s="100" t="inlineStr">
        <is>
          <t>Health Savings Accounts (8889) input: enter the excess contribution withdrawn before the due date = 1,000; no deduction for the $1,000 personal contribution (screen/field per current release - verify).</t>
        </is>
      </c>
      <c r="F6" s="100" t="inlineStr"/>
      <c r="G6" s="100" t="inlineStr">
        <is>
          <t>None</t>
        </is>
      </c>
      <c r="H6" s="100" t="n">
        <v>0</v>
      </c>
    </row>
    <row r="7">
      <c r="A7" s="100" t="inlineStr">
        <is>
          <t>EVG1013-SX4</t>
        </is>
      </c>
      <c r="B7" s="100" t="inlineStr">
        <is>
          <t>8. Est. Tax Penalty (2210)</t>
        </is>
      </c>
      <c r="C7" s="100" t="inlineStr">
        <is>
          <t>Form 2210 - AMT-driven balance due; prior-year safe harbor met</t>
        </is>
      </c>
      <c r="D7" s="100" t="inlineStr">
        <is>
          <t>Same - ProConnect needs the prior-year tax and AGI to apply the prior-year safe harbor.</t>
        </is>
      </c>
      <c r="E7" s="100" t="inlineStr">
        <is>
          <t>Payments, Penalties &amp; Extensions &gt; 2210: enter 2024 tax 23,526 and AGI 140,986; no penalty results (screen per current release - verify).</t>
        </is>
      </c>
      <c r="F7" s="100" t="inlineStr"/>
      <c r="G7" s="100" t="inlineStr">
        <is>
          <t>None</t>
        </is>
      </c>
      <c r="H7" s="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EVG1013</t>
        </is>
      </c>
      <c r="B14" s="57" t="n">
        <v>2025</v>
      </c>
      <c r="C14" s="57" t="inlineStr">
        <is>
          <t>none fired</t>
        </is>
      </c>
      <c r="D14" s="57" t="inlineStr">
        <is>
          <t>[No diagnostic - logged by preparer] NSO same-day sale - 1099-B basis is the exercise price only (spread taxed twice)</t>
        </is>
      </c>
      <c r="E14" s="57" t="inlineStr">
        <is>
          <t>Capital Loss</t>
        </is>
      </c>
      <c r="F14" s="57" t="inlineStr">
        <is>
          <t>Yes</t>
        </is>
      </c>
      <c r="G14" s="57" t="inlineStr">
        <is>
          <t>Gains and Losses &gt; Capital Gains and Losses, PLXR row (box A): keep the reported basis $4,000 in column (e), adjustment code B, amount (22,000) -&gt; loss ($25) = commission. Supplement used only as support (bookmarked DUP), not entered.</t>
        </is>
      </c>
      <c r="H14" s="3" t="n">
        <v>-22000</v>
      </c>
      <c r="I14" s="57" t="inlineStr">
        <is>
          <t>Signed Off</t>
        </is>
      </c>
      <c r="J14" s="57" t="inlineStr">
        <is>
          <t>Staff preparer</t>
        </is>
      </c>
      <c r="K14" s="57" t="inlineStr">
        <is>
          <t>L. Chen (senior)</t>
        </is>
      </c>
      <c r="L14" s="57" t="inlineStr">
        <is>
          <t>EVG1013-SX1 | Workbook tab 17. Equity Comp &amp; Wash Sales | Form 8949 instructions: code B when the basis shown on the 1099-B is incorrect; report the reported basis and the adjustment.</t>
        </is>
      </c>
    </row>
    <row r="15">
      <c r="A15" s="70" t="inlineStr">
        <is>
          <t>EVG1013</t>
        </is>
      </c>
      <c r="B15" s="70" t="n">
        <v>2025</v>
      </c>
      <c r="C15" s="70" t="inlineStr">
        <is>
          <t>none fired</t>
        </is>
      </c>
      <c r="D15" s="70" t="inlineStr">
        <is>
          <t>[No diagnostic - logged by preparer] ISO exercise-and-hold - Form 3921 is not picked up, so the $50,000 AMT adjustment is missing</t>
        </is>
      </c>
      <c r="E15" s="70" t="inlineStr">
        <is>
          <t>AMT</t>
        </is>
      </c>
      <c r="F15" s="70" t="inlineStr">
        <is>
          <t>Yes</t>
        </is>
      </c>
      <c r="G15" s="70" t="inlineStr">
        <is>
          <t>AMT &gt; Adjustments and preferences (or the ISO / Form 3921 input if used): Incentive stock options line 2i = $50,000 (4,000 sh x (14.00 - 1.50)). AMTI $215,959; TMT $33,243 vs regular $28,897 -&gt; AMT $4,346 (Schedule 2 line 1). Deferral item -&gt; Form 8801 MTC carryforward $4,346. Record AMT basis $56,000 vs regular $6,000 in PERM / asset notes (verify field path in current release).</t>
        </is>
      </c>
      <c r="H15" s="5" t="n">
        <v>50000</v>
      </c>
      <c r="I15" s="70" t="inlineStr">
        <is>
          <t>Signed Off</t>
        </is>
      </c>
      <c r="J15" s="70" t="inlineStr">
        <is>
          <t>Staff preparer</t>
        </is>
      </c>
      <c r="K15" s="70" t="inlineStr">
        <is>
          <t>L. Chen (senior)</t>
        </is>
      </c>
      <c r="L15" s="70" t="inlineStr">
        <is>
          <t>EVG1013-SX2 | Workbook tab 17. Equity Comp &amp; Wash Sales | A sale after 02/14/2026 is a qualifying disposition; the regular/AMT basis difference reverses on Form 6251 that year.</t>
        </is>
      </c>
    </row>
    <row r="16">
      <c r="A16" s="57" t="inlineStr">
        <is>
          <t>EVG1013</t>
        </is>
      </c>
      <c r="B16" s="57" t="n">
        <v>2025</v>
      </c>
      <c r="C16" s="57" t="inlineStr">
        <is>
          <t>— (varies by release)</t>
        </is>
      </c>
      <c r="D16" s="57" t="inlineStr">
        <is>
          <t>Excess HSA contribution message / Form 5329 generated</t>
        </is>
      </c>
      <c r="E16" s="57" t="inlineStr">
        <is>
          <t>Other</t>
        </is>
      </c>
      <c r="F16" s="57" t="inlineStr">
        <is>
          <t>No</t>
        </is>
      </c>
      <c r="G16" s="57" t="inlineStr">
        <is>
          <t>HSA (Form 8889) input: personal contributions deductible $0 (code W already uses the full $4,300); excess contributions withdrawn before the extended due date = $1,000 (withdrawn 09/15/2026 with $38 earnings) -&gt; no Form 5329. The $38 is 2026 income (verify field path in current release).</t>
        </is>
      </c>
      <c r="H16" s="3" t="n">
        <v>0</v>
      </c>
      <c r="I16" s="57" t="inlineStr">
        <is>
          <t>Signed Off</t>
        </is>
      </c>
      <c r="J16" s="57" t="inlineStr">
        <is>
          <t>Staff preparer</t>
        </is>
      </c>
      <c r="K16" s="57" t="inlineStr">
        <is>
          <t>L. Chen (senior)</t>
        </is>
      </c>
      <c r="L16" s="57" t="inlineStr">
        <is>
          <t>EVG1013-SX3 | Workbook tab 2. Diagnostics Log | Earnings on a corrective HSA withdrawal are income in the year withdrawn (2026) - flagged in PERM.</t>
        </is>
      </c>
    </row>
    <row r="17">
      <c r="A17" s="70" t="inlineStr">
        <is>
          <t>EVG1013</t>
        </is>
      </c>
      <c r="B17" s="70" t="n">
        <v>2025</v>
      </c>
      <c r="C17" s="70" t="inlineStr">
        <is>
          <t>none fired</t>
        </is>
      </c>
      <c r="D17" s="70" t="inlineStr">
        <is>
          <t>[No diagnostic - logged by preparer] Form 2210 - AMT-driven balance due; prior-year safe harbor met</t>
        </is>
      </c>
      <c r="E17" s="70" t="inlineStr">
        <is>
          <t>Est. Tax Penalty</t>
        </is>
      </c>
      <c r="F17" s="70" t="inlineStr">
        <is>
          <t>Yes</t>
        </is>
      </c>
      <c r="G17" s="70" t="inlineStr">
        <is>
          <t>Penalties and Interest / Form 2210 input: 2024 tax $23,526, 2024 AGI $140,986 (&lt; $150,000 -&gt; 100%). Required annual payment = lesser of $29,919 and $23,526 = $23,526; withholding $27,600 (treated as paid evenly) -&gt; penalty $0. Extension payment $6,000 on Schedule 3 line 10 covers the balance.</t>
        </is>
      </c>
      <c r="H17" s="5" t="n">
        <v>0</v>
      </c>
      <c r="I17" s="70" t="inlineStr">
        <is>
          <t>Signed Off</t>
        </is>
      </c>
      <c r="J17" s="70" t="inlineStr">
        <is>
          <t>Staff preparer</t>
        </is>
      </c>
      <c r="K17" s="70" t="inlineStr">
        <is>
          <t>L. Chen (senior)</t>
        </is>
      </c>
      <c r="L17" s="70" t="inlineStr">
        <is>
          <t>EVG1013-SX4 | Workbook tab 8. Est. Tax Penalty (2210)</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v>33243</v>
      </c>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v>140986</v>
      </c>
      <c r="F14" s="57" t="n"/>
    </row>
    <row r="15" ht="25.5" customHeight="1">
      <c r="A15" s="71" t="inlineStr">
        <is>
          <t>Prior-Year Tax</t>
        </is>
      </c>
      <c r="B15" s="97" t="n"/>
      <c r="C15" s="97" t="n"/>
      <c r="D15" s="96" t="n"/>
      <c r="E15" s="5" t="n">
        <v>23526</v>
      </c>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v>27600</v>
      </c>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v>6900</v>
      </c>
      <c r="D25" s="57" t="inlineStr">
        <is>
          <t>Y</t>
        </is>
      </c>
      <c r="E25" s="3">
        <f>MAX(0,B25-C25)</f>
        <v/>
      </c>
      <c r="F25" s="57" t="inlineStr">
        <is>
          <t>W-2 withholding 27,600 treated as paid evenly (6,900/qtr); no estimates</t>
        </is>
      </c>
    </row>
    <row r="26">
      <c r="A26" s="70" t="inlineStr">
        <is>
          <t>Q2 (6/15)</t>
        </is>
      </c>
      <c r="B26" s="5">
        <f>$E$18*0.25</f>
        <v/>
      </c>
      <c r="C26" s="5" t="n">
        <v>6900</v>
      </c>
      <c r="D26" s="70" t="inlineStr">
        <is>
          <t>Y</t>
        </is>
      </c>
      <c r="E26" s="5">
        <f>MAX(0,B26-C26)</f>
        <v/>
      </c>
      <c r="F26" s="70" t="n"/>
    </row>
    <row r="27">
      <c r="A27" s="57" t="inlineStr">
        <is>
          <t>Q3 (9/15)</t>
        </is>
      </c>
      <c r="B27" s="3">
        <f>$E$18*0.25</f>
        <v/>
      </c>
      <c r="C27" s="3" t="n">
        <v>6900</v>
      </c>
      <c r="D27" s="57" t="inlineStr">
        <is>
          <t>Y</t>
        </is>
      </c>
      <c r="E27" s="3">
        <f>MAX(0,B27-C27)</f>
        <v/>
      </c>
      <c r="F27" s="57" t="n"/>
    </row>
    <row r="28">
      <c r="A28" s="70" t="inlineStr">
        <is>
          <t>Q4 (1/15 following yr)</t>
        </is>
      </c>
      <c r="B28" s="5">
        <f>$E$18*0.25</f>
        <v/>
      </c>
      <c r="C28" s="5" t="n">
        <v>6900</v>
      </c>
      <c r="D28" s="70" t="inlineStr">
        <is>
          <t>Y</t>
        </is>
      </c>
      <c r="E28" s="5">
        <f>MAX(0,B28-C28)</f>
        <v/>
      </c>
      <c r="F28" s="70" t="inlineStr">
        <is>
          <t>Extension payment 6,000 on 04/13/2026 is not an estimate (Sch 3 line 10)</t>
        </is>
      </c>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inlineStr">
        <is>
          <t>Parallax Robotics (PLXR) NSO - 2,000 sh exercise + same-day sale 09/18/2025</t>
        </is>
      </c>
      <c r="B12" s="3" t="n">
        <v>4000</v>
      </c>
      <c r="C12" s="3" t="n">
        <v>22000</v>
      </c>
      <c r="D12" s="3">
        <f>B12+C12</f>
        <v/>
      </c>
      <c r="E12" s="3" t="inlineStr">
        <is>
          <t>No</t>
        </is>
      </c>
      <c r="F12" s="3" t="n"/>
      <c r="G12" s="3" t="inlineStr">
        <is>
          <t>1099-B basis = exercise price. Spread 22,000 in W-2 box 1 (code V). 8949 box A code B adj (22,000): proceeds 25,975 - corrected basis 26,000 = (25) commission.</t>
        </is>
      </c>
    </row>
    <row r="13">
      <c r="A13" s="70" t="inlineStr">
        <is>
          <t>Parallax Robotics ISO - 4,000 sh exercised 02/14/2025 and held (Form 3921) - AMT BASIS</t>
        </is>
      </c>
      <c r="B13" s="5" t="n">
        <v>6000</v>
      </c>
      <c r="C13" s="5" t="n">
        <v>50000</v>
      </c>
      <c r="D13" s="5">
        <f>B13+C13</f>
        <v/>
      </c>
      <c r="E13" s="5" t="inlineStr">
        <is>
          <t>No (no sale)</t>
        </is>
      </c>
      <c r="F13" s="5" t="n"/>
      <c r="G13" s="5" t="inlineStr">
        <is>
          <t>Not a 1099-B row: col B = regular basis (4,000 x 1.50); col C = AMT adjustment line 2i (4,000 x (14.00 - 1.50)); col D = AMT basis 56,000 for the future sale. AMT 4,346 -&gt; Form 8801 carryforward.</t>
        </is>
      </c>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2026-10-12T16:22:57Z</dcterms:modified>
  <cp:lastModifiedBy>Shane Kennedy</cp:lastModifiedBy>
  <cp:revision>0</cp:revision>
</cp:coreProperties>
</file>