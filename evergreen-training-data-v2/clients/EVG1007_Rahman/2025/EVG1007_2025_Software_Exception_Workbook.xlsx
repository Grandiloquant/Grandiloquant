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EVG1007 - Dr. Aisha Rahman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EVG1007-SX1</t>
        </is>
      </c>
      <c r="B4" s="100" t="inlineStr">
        <is>
          <t>12. S-Corp Dual Basis</t>
        </is>
      </c>
      <c r="C4" s="100" t="inlineStr">
        <is>
          <t>S-corp distribution above STOCK basis (debt basis does not cover distributions)</t>
        </is>
      </c>
      <c r="D4" s="100" t="inlineStr">
        <is>
          <t>ProConnect requires 'Stock basis at beginning of year' to produce Form 7203 (missing entry raises diagnostic ref 56844). If the preparer types the blended $148,000 there, the same tax-free result occurs.</t>
        </is>
      </c>
      <c r="E4" s="100" t="inlineStr">
        <is>
          <t>S Corp Info (1120S K-1) &gt; Shareholder's Basis (7203): Stock basis at beginning of year = 28,000; Debt basis at beginning of tax year = 120,000 (Shareholder Loan section). 7203 generates because a distribution was received; the $21,360 gain flows to Schedule D.</t>
        </is>
      </c>
      <c r="F4" s="100" t="inlineStr">
        <is>
          <t>Intuit help: 'How to complete Form 7203 and resolve diagnostic 56844 in ProConnect Tax'</t>
        </is>
      </c>
      <c r="G4" s="100" t="inlineStr">
        <is>
          <t>None (Form 7203 required attachment when a distribution is received)</t>
        </is>
      </c>
      <c r="H4" s="100" t="n">
        <v>21360</v>
      </c>
    </row>
    <row r="5">
      <c r="A5" s="100" t="inlineStr">
        <is>
          <t>EVG1007-SX2</t>
        </is>
      </c>
      <c r="B5" s="100" t="inlineStr">
        <is>
          <t>8. Est. Tax Penalty (2210)</t>
        </is>
      </c>
      <c r="C5" s="100" t="inlineStr">
        <is>
          <t>Form 2210 - organizer says 4 estimates, only 3 were paid</t>
        </is>
      </c>
      <c r="D5" s="100" t="inlineStr">
        <is>
          <t>Same - ProConnect uses the estimate amounts/dates entered; no transcript check.</t>
        </is>
      </c>
      <c r="E5" s="100" t="inlineStr">
        <is>
          <t>Payments, Penalties &amp; Extensions: enter each 2025 federal estimate with its actual date paid (leave Q3 blank); let the Form 2210 penalty compute (do not check 'suppress penalty').</t>
        </is>
      </c>
      <c r="F5" s="100" t="inlineStr">
        <is>
          <t>Screen name per current release - verify</t>
        </is>
      </c>
      <c r="G5" s="100" t="inlineStr">
        <is>
          <t>None</t>
        </is>
      </c>
      <c r="H5" s="100" t="n">
        <v>779</v>
      </c>
    </row>
    <row r="6">
      <c r="A6" s="100" t="inlineStr">
        <is>
          <t>EVG1007-SX3</t>
        </is>
      </c>
      <c r="B6" s="100" t="inlineStr">
        <is>
          <t>2. Diagnostics Log</t>
        </is>
      </c>
      <c r="C6" s="100" t="inlineStr">
        <is>
          <t>SSTB flag missing from K-1 statement - QBI deduction would be ~$62,000</t>
        </is>
      </c>
      <c r="D6" s="100" t="inlineStr">
        <is>
          <t>Same - ProConnect relies on the SSTB indicator entered from the K-1 statement.</t>
        </is>
      </c>
      <c r="E6" s="100" t="inlineStr">
        <is>
          <t>S Corp Info (1120S K-1) &gt; Qualified Business Income (199A): 'Specified service trade or business' = Yes.</t>
        </is>
      </c>
      <c r="F6" s="100" t="inlineStr"/>
      <c r="G6" s="100" t="inlineStr">
        <is>
          <t>None</t>
        </is>
      </c>
      <c r="H6" s="100" t="n">
        <v>0</v>
      </c>
    </row>
    <row r="7">
      <c r="A7" s="100" t="inlineStr">
        <is>
          <t>EVG1007-SX4</t>
        </is>
      </c>
      <c r="B7" s="100" t="inlineStr">
        <is>
          <t>2. Diagnostics Log</t>
        </is>
      </c>
      <c r="C7" s="100" t="inlineStr">
        <is>
          <t>NIIT - excess-distribution gain on active S-corp stock (Form 8960 line 5c)</t>
        </is>
      </c>
      <c r="D7" s="100" t="inlineStr">
        <is>
          <t>Same - capital gain flows into NII.</t>
        </is>
      </c>
      <c r="E7" s="100" t="inlineStr">
        <is>
          <t>Net Investment Income Tax (8960) screen: 'Adjustment for disposition of partnership interest or S corporation stock' = -21,360; attach statement.</t>
        </is>
      </c>
      <c r="F7" s="100" t="inlineStr">
        <is>
          <t>Field label per current release - verify</t>
        </is>
      </c>
      <c r="G7" s="100" t="inlineStr">
        <is>
          <t>Statement attached as PDF</t>
        </is>
      </c>
      <c r="H7" s="100" t="n">
        <v>-21360</v>
      </c>
    </row>
    <row r="8">
      <c r="A8" s="100" t="inlineStr">
        <is>
          <t>EVG1007-SX5</t>
        </is>
      </c>
      <c r="B8" s="100" t="inlineStr">
        <is>
          <t>2. Diagnostics Log</t>
        </is>
      </c>
      <c r="C8" s="100" t="inlineStr">
        <is>
          <t>State refund (1099-G $2,100) - tax benefit rule when PY SALT was capped</t>
        </is>
      </c>
      <c r="D8" s="100" t="inlineStr">
        <is>
          <t>Same - the taxable-refund worksheet needs prior-year itemized and SALT-limit data; otherwise the full refund is taxable.</t>
        </is>
      </c>
      <c r="E8" s="100" t="inlineStr">
        <is>
          <t>Income &gt; State and local tax refunds: complete the prior-year Schedule A / SALT limitation fields so the worksheet limits the taxable amount to $0.</t>
        </is>
      </c>
      <c r="F8" s="100" t="inlineStr">
        <is>
          <t>Verify field names in current release</t>
        </is>
      </c>
      <c r="G8" s="100" t="inlineStr">
        <is>
          <t>None</t>
        </is>
      </c>
      <c r="H8" s="100" t="n">
        <v>0</v>
      </c>
    </row>
    <row r="9">
      <c r="A9" s="100" t="inlineStr">
        <is>
          <t>EVG1007-SX6</t>
        </is>
      </c>
      <c r="B9" s="100" t="inlineStr">
        <is>
          <t>2. Diagnostics Log</t>
        </is>
      </c>
      <c r="C9" s="100" t="inlineStr">
        <is>
          <t>Illinois PTE tax - federal Schedule A vs IL credit</t>
        </is>
      </c>
      <c r="D9" s="100" t="inlineStr">
        <is>
          <t>Same risk if entered under state estimated payments.</t>
        </is>
      </c>
      <c r="E9" s="100" t="inlineStr">
        <is>
          <t>Illinois return &gt; Pass-through entity credits: enter the IL K-1-P PTE tax credit $16,073; nothing on federal Taxes (Schedule A).</t>
        </is>
      </c>
      <c r="F9" s="100" t="inlineStr"/>
      <c r="G9" s="100" t="inlineStr">
        <is>
          <t>IL return e-filed with K-1-P information</t>
        </is>
      </c>
      <c r="H9" s="100" t="n">
        <v>16073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EVG1007</t>
        </is>
      </c>
      <c r="B14" s="57" t="n">
        <v>2025</v>
      </c>
      <c r="C14" s="57" t="inlineStr">
        <is>
          <t>none fired</t>
        </is>
      </c>
      <c r="D14" s="57" t="inlineStr">
        <is>
          <t>[No diagnostic - logged by preparer] S-corp distribution above STOCK basis (debt basis does not cover distributions)</t>
        </is>
      </c>
      <c r="E14" s="57" t="inlineStr">
        <is>
          <t>Basis/At-Risk/Passive</t>
        </is>
      </c>
      <c r="F14" s="57" t="inlineStr">
        <is>
          <t>Yes</t>
        </is>
      </c>
      <c r="G14" s="57" t="inlineStr">
        <is>
          <t>Income/Deductions &gt; S Corporation Passthrough &gt; Basis Limitation section: beginning STOCK basis $28,000 on the stock-basis line; shareholder loan $120,000 entered only in the separate DEBT-basis lines. Recalculate - $21,360 excess distribution flows to Form 8949 box F (LT; held since 2016). Form 7203 attached.</t>
        </is>
      </c>
      <c r="H14" s="3" t="n">
        <v>21360</v>
      </c>
      <c r="I14" s="57" t="inlineStr">
        <is>
          <t>Signed Off</t>
        </is>
      </c>
      <c r="J14" s="57" t="inlineStr">
        <is>
          <t>M. Novak (staff)</t>
        </is>
      </c>
      <c r="K14" s="57" t="inlineStr">
        <is>
          <t>L. Chen (senior)</t>
        </is>
      </c>
      <c r="L14" s="57" t="inlineStr">
        <is>
          <t>EVG1007-SX1 | Workbook tab 12. S-Corp Dual Basis | Workbook tab 12 formula corrected to apply distributions before losses (Reg. 1.1367-1(f)); see Corrections Log.</t>
        </is>
      </c>
    </row>
    <row r="15">
      <c r="A15" s="70" t="inlineStr">
        <is>
          <t>EVG1007</t>
        </is>
      </c>
      <c r="B15" s="70" t="n">
        <v>2025</v>
      </c>
      <c r="C15" s="70" t="inlineStr">
        <is>
          <t>none fired</t>
        </is>
      </c>
      <c r="D15" s="70" t="inlineStr">
        <is>
          <t>[No diagnostic - logged by preparer] Form 2210 - organizer says 4 estimates, only 3 were paid</t>
        </is>
      </c>
      <c r="E15" s="70" t="inlineStr">
        <is>
          <t>Est. Tax Penalty</t>
        </is>
      </c>
      <c r="F15" s="70" t="inlineStr">
        <is>
          <t>Yes</t>
        </is>
      </c>
      <c r="G15" s="70" t="inlineStr">
        <is>
          <t>General &gt; Payments: enter federal estimates by actual date paid (04/15, 06/16, 01/15/2026 = $15,000 each; Q3 $0). Penalty section: regular method, no waiver; 110% prior-year safe harbor applies (2024 AGI $508,300 &gt; $150,000). Penalty $779 on line 38.</t>
        </is>
      </c>
      <c r="H15" s="5" t="n">
        <v>779</v>
      </c>
      <c r="I15" s="70" t="inlineStr">
        <is>
          <t>Signed Off</t>
        </is>
      </c>
      <c r="J15" s="70" t="inlineStr">
        <is>
          <t>M. Novak (staff)</t>
        </is>
      </c>
      <c r="K15" s="70" t="inlineStr">
        <is>
          <t>L. Chen (senior)</t>
        </is>
      </c>
      <c r="L15" s="70" t="inlineStr">
        <is>
          <t>EVG1007-SX2 | Workbook tab 8. Est. Tax Penalty (2210) | Workbook tab 8 (corrected) shows required annual payment $120,006 vs payments $101,360 -&gt; NOT met.</t>
        </is>
      </c>
    </row>
    <row r="16">
      <c r="A16" s="57" t="inlineStr">
        <is>
          <t>EVG1007</t>
        </is>
      </c>
      <c r="B16" s="57" t="n">
        <v>2025</v>
      </c>
      <c r="C16" s="57" t="inlineStr">
        <is>
          <t>none fired</t>
        </is>
      </c>
      <c r="D16" s="57" t="inlineStr">
        <is>
          <t>[No diagnostic - logged by preparer] SSTB flag missing from K-1 statement - QBI deduction would be ~$62,000</t>
        </is>
      </c>
      <c r="E16" s="57" t="inlineStr">
        <is>
          <t>Other</t>
        </is>
      </c>
      <c r="F16" s="57" t="inlineStr">
        <is>
          <t>No</t>
        </is>
      </c>
      <c r="G16" s="57" t="inlineStr">
        <is>
          <t>S Corporation Passthrough &gt; Section 199A: check 'Specified service trade or business'. With taxable income before QBI of $479,825 (&gt; $247,300) the SSTB is fully phased out - QBI deduction $0.</t>
        </is>
      </c>
      <c r="H16" s="3" t="n">
        <v>0</v>
      </c>
      <c r="I16" s="57" t="inlineStr">
        <is>
          <t>Signed Off</t>
        </is>
      </c>
      <c r="J16" s="57" t="inlineStr">
        <is>
          <t>M. Novak (staff)</t>
        </is>
      </c>
      <c r="K16" s="57" t="inlineStr">
        <is>
          <t>L. Chen (senior)</t>
        </is>
      </c>
      <c r="L16" s="57" t="inlineStr">
        <is>
          <t>EVG1007-SX3 | Workbook tab 2. Diagnostics Log | Pediatric medical practice is a health SSTB under 199A(d)(2).</t>
        </is>
      </c>
    </row>
    <row r="17">
      <c r="A17" s="70" t="inlineStr">
        <is>
          <t>EVG1007</t>
        </is>
      </c>
      <c r="B17" s="70" t="n">
        <v>2025</v>
      </c>
      <c r="C17" s="70" t="inlineStr">
        <is>
          <t>none fired</t>
        </is>
      </c>
      <c r="D17" s="70" t="inlineStr">
        <is>
          <t>[No diagnostic - logged by preparer] NIIT - excess-distribution gain on active S-corp stock (Form 8960 line 5c)</t>
        </is>
      </c>
      <c r="E17" s="70" t="inlineStr">
        <is>
          <t>Other</t>
        </is>
      </c>
      <c r="F17" s="70" t="inlineStr">
        <is>
          <t>Yes</t>
        </is>
      </c>
      <c r="G17" s="70" t="inlineStr">
        <is>
          <t>Form 8960 input: line 5c adjustment (disposition of partnership interest or S-corp stock) = (21,360), supported by a Reg. 1.1411-7 (proposed, may be relied on) statement. NIIT falls to $186.</t>
        </is>
      </c>
      <c r="H17" s="5" t="n">
        <v>-21360</v>
      </c>
      <c r="I17" s="70" t="inlineStr">
        <is>
          <t>Signed Off</t>
        </is>
      </c>
      <c r="J17" s="70" t="inlineStr">
        <is>
          <t>M. Novak (staff)</t>
        </is>
      </c>
      <c r="K17" s="70" t="inlineStr">
        <is>
          <t>L. Chen (senior)</t>
        </is>
      </c>
      <c r="L17" s="70" t="inlineStr">
        <is>
          <t>EVG1007-SX4 | Workbook tab 2. Diagnostics Log | Position flagged for signer (NIIT $812 higher if not taken).</t>
        </is>
      </c>
    </row>
    <row r="18">
      <c r="A18" s="57" t="inlineStr">
        <is>
          <t>EVG1007</t>
        </is>
      </c>
      <c r="B18" s="57" t="n">
        <v>2025</v>
      </c>
      <c r="C18" s="57" t="inlineStr">
        <is>
          <t>— (varies by release)</t>
        </is>
      </c>
      <c r="D18" s="57" t="inlineStr">
        <is>
          <t>Informational: state and local refund worksheet requires prior-year itemized deduction information</t>
        </is>
      </c>
      <c r="E18" s="57" t="inlineStr">
        <is>
          <t>Other</t>
        </is>
      </c>
      <c r="F18" s="57" t="inlineStr">
        <is>
          <t>Yes</t>
        </is>
      </c>
      <c r="G18" s="57" t="inlineStr">
        <is>
          <t>Income &gt; State and local refund worksheet: enter 2024 state and local taxes paid ($31,000), SALT limitation $10,000, 2024 itemized total; worksheet computes $0 taxable (Rev. Rul. 2019-11).</t>
        </is>
      </c>
      <c r="H18" s="3" t="n">
        <v>0</v>
      </c>
      <c r="I18" s="57" t="inlineStr">
        <is>
          <t>Signed Off</t>
        </is>
      </c>
      <c r="J18" s="57" t="inlineStr">
        <is>
          <t>M. Novak (staff)</t>
        </is>
      </c>
      <c r="K18" s="57" t="inlineStr">
        <is>
          <t>L. Chen (senior)</t>
        </is>
      </c>
      <c r="L18" s="57" t="inlineStr">
        <is>
          <t>EVG1007-SX5 | Workbook tab 2. Diagnostics Log</t>
        </is>
      </c>
    </row>
    <row r="19">
      <c r="A19" s="70" t="inlineStr">
        <is>
          <t>EVG1007</t>
        </is>
      </c>
      <c r="B19" s="70" t="n">
        <v>2025</v>
      </c>
      <c r="C19" s="70" t="inlineStr">
        <is>
          <t>none fired</t>
        </is>
      </c>
      <c r="D19" s="70" t="inlineStr">
        <is>
          <t>[No diagnostic - logged by preparer] Illinois PTE tax - federal Schedule A vs IL credit</t>
        </is>
      </c>
      <c r="E19" s="70" t="inlineStr">
        <is>
          <t>State Allocation</t>
        </is>
      </c>
      <c r="F19" s="70" t="inlineStr">
        <is>
          <t>No</t>
        </is>
      </c>
      <c r="G19" s="70" t="inlineStr">
        <is>
          <t>Do not enter the PTE tax on the federal Taxes worksheet. Enter $16,073 only on the IL K-1-P passthrough credit input (IL Schedule IL-E / PTE credit). IL exemption and property-tax credit are disallowed (AGI &gt; $250,000).</t>
        </is>
      </c>
      <c r="H19" s="5" t="n">
        <v>16073</v>
      </c>
      <c r="I19" s="70" t="inlineStr">
        <is>
          <t>Signed Off</t>
        </is>
      </c>
      <c r="J19" s="70" t="inlineStr">
        <is>
          <t>M. Novak (staff)</t>
        </is>
      </c>
      <c r="K19" s="70" t="inlineStr">
        <is>
          <t>L. Chen (senior)</t>
        </is>
      </c>
      <c r="L19" s="70" t="inlineStr">
        <is>
          <t>EVG1007-SX6 | Workbook tab 2. Diagnostics Log</t>
        </is>
      </c>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v>133340</v>
      </c>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v>508300</v>
      </c>
      <c r="F14" s="57" t="n"/>
    </row>
    <row r="15" ht="25.5" customHeight="1">
      <c r="A15" s="71" t="inlineStr">
        <is>
          <t>Prior-Year Tax</t>
        </is>
      </c>
      <c r="B15" s="97" t="n"/>
      <c r="C15" s="97" t="n"/>
      <c r="D15" s="96" t="n"/>
      <c r="E15" s="5" t="n">
        <v>121500</v>
      </c>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v>101360</v>
      </c>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v>29090</v>
      </c>
      <c r="D25" s="57" t="inlineStr">
        <is>
          <t>Y</t>
        </is>
      </c>
      <c r="E25" s="3">
        <f>MAX(0,B25-C25)</f>
        <v/>
      </c>
      <c r="F25" s="57" t="inlineStr">
        <is>
          <t>W-2 withholding 56,360 treated as paid evenly (14,090/qtr) + 15,000 estimate</t>
        </is>
      </c>
    </row>
    <row r="26">
      <c r="A26" s="70" t="inlineStr">
        <is>
          <t>Q2 (6/15)</t>
        </is>
      </c>
      <c r="B26" s="5">
        <f>$E$18*0.25</f>
        <v/>
      </c>
      <c r="C26" s="5" t="n">
        <v>29090</v>
      </c>
      <c r="D26" s="70" t="inlineStr">
        <is>
          <t>Y</t>
        </is>
      </c>
      <c r="E26" s="5">
        <f>MAX(0,B26-C26)</f>
        <v/>
      </c>
      <c r="F26" s="70" t="n"/>
    </row>
    <row r="27">
      <c r="A27" s="57" t="inlineStr">
        <is>
          <t>Q3 (9/15)</t>
        </is>
      </c>
      <c r="B27" s="3">
        <f>$E$18*0.25</f>
        <v/>
      </c>
      <c r="C27" s="3" t="n">
        <v>14090</v>
      </c>
      <c r="D27" s="57" t="inlineStr">
        <is>
          <t>N - no estimate</t>
        </is>
      </c>
      <c r="E27" s="3">
        <f>MAX(0,B27-C27)</f>
        <v/>
      </c>
      <c r="F27" s="57" t="inlineStr">
        <is>
          <t>Q3 estimate never paid (IRS account transcript) - organizer wrong</t>
        </is>
      </c>
    </row>
    <row r="28">
      <c r="A28" s="70" t="inlineStr">
        <is>
          <t>Q4 (1/15 following yr)</t>
        </is>
      </c>
      <c r="B28" s="5">
        <f>$E$18*0.25</f>
        <v/>
      </c>
      <c r="C28" s="5" t="n">
        <v>29090</v>
      </c>
      <c r="D28" s="70" t="inlineStr">
        <is>
          <t>Y</t>
        </is>
      </c>
      <c r="E28" s="5">
        <f>MAX(0,B28-C28)</f>
        <v/>
      </c>
      <c r="F28" s="70" t="inlineStr">
        <is>
          <t>Q4 estimate paid 01/15/2026 (timely for 2025)</t>
        </is>
      </c>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inlineStr">
        <is>
          <t>Dr. Aisha Rahman - Lakeshore Pediatric Partners, S.C. (100%)</t>
        </is>
      </c>
      <c r="B15" s="3" t="n">
        <v>28000</v>
      </c>
      <c r="C15" s="3" t="n">
        <v>120000</v>
      </c>
      <c r="D15" s="3" t="n">
        <v>310640</v>
      </c>
      <c r="E15" s="3" t="n">
        <v>360000</v>
      </c>
      <c r="F15" s="3">
        <f>MAX(0,E15-(B15+MAX(0,D15)))</f>
        <v/>
      </c>
      <c r="G15" s="3" t="inlineStr">
        <is>
          <t>Stock 28,000 + income 310,640 (box 1 310,000 + box 4 640) = 338,640 &lt; distributions 360,000 -&gt; 21,360 LTCG (8949 box F). Debt basis 120,000 NOT available for distributions; nondeductible exp 3,100 + charity 2,000 then reduce DEBT basis -&gt; 114,900 carryforward.</t>
        </is>
      </c>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2026-10-12T16:22:54Z</dcterms:modified>
  <cp:lastModifiedBy>Shane Kennedy</cp:lastModifiedBy>
  <cp:revision>0</cp:revision>
</cp:coreProperties>
</file>