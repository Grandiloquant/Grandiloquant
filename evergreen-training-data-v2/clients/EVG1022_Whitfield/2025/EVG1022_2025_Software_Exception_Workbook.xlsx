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EVG1022 - Gregory &amp; Ellen Whitfield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EVG1022-SX1</t>
        </is>
      </c>
      <c r="B4" s="100" t="inlineStr">
        <is>
          <t>23. Multi-State W-2 Days</t>
        </is>
      </c>
      <c r="C4" s="100" t="inlineStr">
        <is>
          <t>Single PA-coded W-2 for a mobile executive - MA workday allocation</t>
        </is>
      </c>
      <c r="D4" s="100" t="inlineStr">
        <is>
          <t>Same - the W-2 screen's state section reflects only what is keyed; with one PA row only PA is generated.</t>
        </is>
      </c>
      <c r="E4" s="100" t="inlineStr">
        <is>
          <t>Wages, Salaries, Tips &gt; W-2 &gt; State and local information: add a second state line for MA with state wages $44,727 (state withholding 0) and generate the MA nonresident return (screen/field per current release - verify).</t>
        </is>
      </c>
      <c r="F4" s="100" t="inlineStr"/>
      <c r="G4" s="100" t="inlineStr">
        <is>
          <t>None - PA and MA both e-filed</t>
        </is>
      </c>
      <c r="H4" s="100" t="n">
        <v>44727</v>
      </c>
    </row>
    <row r="5">
      <c r="A5" s="100" t="inlineStr">
        <is>
          <t>EVG1022-SX2</t>
        </is>
      </c>
      <c r="B5" s="100" t="inlineStr">
        <is>
          <t>2. Diagnostics Log</t>
        </is>
      </c>
      <c r="C5" s="100" t="inlineStr">
        <is>
          <t>NJ reciprocity and Illinois 30-day threshold - do NOT generate NJ/IL returns</t>
        </is>
      </c>
      <c r="D5" s="100" t="inlineStr">
        <is>
          <t>Same - any state line keyed on the W-2 generates that state's nonresident return.</t>
        </is>
      </c>
      <c r="E5" s="100" t="inlineStr">
        <is>
          <t>Do not add NJ/IL lines on the W-2 screen; if a state was activated, delete it in the state return list (screen per current release - verify).</t>
        </is>
      </c>
      <c r="F5" s="100" t="inlineStr"/>
      <c r="G5" s="100" t="inlineStr">
        <is>
          <t>Avoids two unnecessary nonresident filings</t>
        </is>
      </c>
      <c r="H5" s="100" t="n">
        <v>0</v>
      </c>
    </row>
    <row r="6">
      <c r="A6" s="100" t="inlineStr">
        <is>
          <t>EVG1022-SX3</t>
        </is>
      </c>
      <c r="B6" s="100" t="inlineStr">
        <is>
          <t>7. Multi-State Allocation</t>
        </is>
      </c>
      <c r="C6" s="100" t="inlineStr">
        <is>
          <t>PA resident credit (Schedule G-L) for MA tax - limited to PA tax on the MA income</t>
        </is>
      </c>
      <c r="D6" s="100" t="inlineStr">
        <is>
          <t>Same - the PA credit for taxes paid to other states uses the income and tax entered for the other state.</t>
        </is>
      </c>
      <c r="E6" s="100" t="inlineStr">
        <is>
          <t>Pennsylvania return &gt; Credits &gt; Credit for taxes paid to other states (Schedule G-L): MA income 44,727, MA tax 2,191; confirm the computed credit is $1,373 (screen/field per current release - verify).</t>
        </is>
      </c>
      <c r="F6" s="100" t="inlineStr"/>
      <c r="G6" s="100" t="inlineStr">
        <is>
          <t>None</t>
        </is>
      </c>
      <c r="H6" s="100" t="n">
        <v>1373</v>
      </c>
    </row>
    <row r="7">
      <c r="A7" s="100" t="inlineStr">
        <is>
          <t>EVG1022-SX4</t>
        </is>
      </c>
      <c r="B7" s="100" t="inlineStr">
        <is>
          <t>18. NUA &amp; IRD Deduction</t>
        </is>
      </c>
      <c r="C7" s="100" t="inlineStr">
        <is>
          <t>401(k) lump sum with employer stock in kind - NUA (only cost basis taxable)</t>
        </is>
      </c>
      <c r="D7" s="100" t="inlineStr">
        <is>
          <t>Same - ProConnect taxes the taxable amount keyed; box 6 must be entered for the NUA to be carried.</t>
        </is>
      </c>
      <c r="E7" s="100" t="inlineStr">
        <is>
          <t>Income &gt; Pensions, Annuities (1099-R): enter both 1099-Rs - box 2a $96,000 and box 6 net unrealized appreciation $544,000 on the stock distribution, code 2; the code G rollover with taxable $0 (field labels per current release - verify). PA: exclude from PA income on the PA 1099-R/retirement income input.</t>
        </is>
      </c>
      <c r="F7" s="100" t="inlineStr"/>
      <c r="G7" s="100" t="inlineStr">
        <is>
          <t>None</t>
        </is>
      </c>
      <c r="H7" s="100" t="n">
        <v>96000</v>
      </c>
    </row>
    <row r="8">
      <c r="A8" s="100" t="inlineStr">
        <is>
          <t>EVG1022-SX5</t>
        </is>
      </c>
      <c r="B8" s="100" t="inlineStr">
        <is>
          <t>17. Equity Comp &amp; Wash Sales</t>
        </is>
      </c>
      <c r="C8" s="100" t="inlineStr">
        <is>
          <t>Cross-account wash sale - spouse's IRA bought the same ETF (Rev. Rul. 2008-5)</t>
        </is>
      </c>
      <c r="D8" s="100" t="inlineStr">
        <is>
          <t>Same - the disposition is imported/keyed as reported; nothing cross-matches other accounts or a spouse's IRA.</t>
        </is>
      </c>
      <c r="E8" s="100" t="inlineStr">
        <is>
          <t>Dispositions (Schedule D/4797) &gt; the IVV transaction: adjustment code W, adjustment +18,000 (field labels per current release - verify). No basis entry elsewhere.</t>
        </is>
      </c>
      <c r="F8" s="100" t="inlineStr"/>
      <c r="G8" s="100" t="inlineStr">
        <is>
          <t>None (four transactions - no 8949 summary/PDF attachment needed)</t>
        </is>
      </c>
      <c r="H8" s="100" t="n">
        <v>18000</v>
      </c>
    </row>
    <row r="9">
      <c r="A9" s="100" t="inlineStr">
        <is>
          <t>EVG1022-SX6</t>
        </is>
      </c>
      <c r="B9" s="100" t="inlineStr">
        <is>
          <t>14. Bond Interest &amp; Premium</t>
        </is>
      </c>
      <c r="C9" s="100" t="inlineStr">
        <is>
          <t>Bond premium (box 11/13) and accrued interest paid at purchase</t>
        </is>
      </c>
      <c r="D9" s="100" t="inlineStr">
        <is>
          <t>Same - the accrued interest is not on a 1099 box; box 11/13 must be keyed to be netted.</t>
        </is>
      </c>
      <c r="E9" s="100" t="inlineStr">
        <is>
          <t>Income &gt; Interest Income (1099-INT): enter box 11 and box 13 premium amounts in their fields and the accrued interest as an adjustment line/'Accrued interest' (screen/field per current release - verify).</t>
        </is>
      </c>
      <c r="F9" s="100" t="inlineStr"/>
      <c r="G9" s="100" t="inlineStr">
        <is>
          <t>None</t>
        </is>
      </c>
      <c r="H9" s="100" t="n">
        <v>3768</v>
      </c>
    </row>
    <row r="10">
      <c r="A10" s="100" t="inlineStr">
        <is>
          <t>EVG1022-SX7</t>
        </is>
      </c>
      <c r="B10" s="100" t="inlineStr">
        <is>
          <t>10. Capital Loss Carryover</t>
        </is>
      </c>
      <c r="C10" s="100" t="inlineStr">
        <is>
          <t>New client - prior preparer's capital loss carryover had the wrong character</t>
        </is>
      </c>
      <c r="D10" s="100" t="inlineStr">
        <is>
          <t>Same - carryovers for a new client are manual entries; ProConnect uses whatever character is keyed.</t>
        </is>
      </c>
      <c r="E10" s="100" t="inlineStr">
        <is>
          <t>Schedule D input &gt; Capital loss carryover: short-term 26,000, long-term 12,000 (screen/field per current release - verify).</t>
        </is>
      </c>
      <c r="F10" s="100" t="inlineStr"/>
      <c r="G10" s="100" t="inlineStr">
        <is>
          <t>None</t>
        </is>
      </c>
      <c r="H10" s="100" t="n">
        <v>26000</v>
      </c>
    </row>
    <row r="11">
      <c r="A11" s="100" t="inlineStr">
        <is>
          <t>EVG1022-SX8</t>
        </is>
      </c>
      <c r="B11" s="100" t="inlineStr">
        <is>
          <t>8. Est. Tax Penalty (2210)</t>
        </is>
      </c>
      <c r="C11" s="100" t="inlineStr">
        <is>
          <t>Form 2210 for a new client - prior-year tax not proforma'd</t>
        </is>
      </c>
      <c r="D11" s="100" t="inlineStr">
        <is>
          <t>Same - prior-year tax/AGI for Form 2210 must be entered for a new client.</t>
        </is>
      </c>
      <c r="E11" s="100" t="inlineStr">
        <is>
          <t>Payments, Penalties &amp; Extensions &gt; Underpayment penalty (2210): enter prior-year tax and AGI; estimates with dates (screen/field per current release - verify).</t>
        </is>
      </c>
      <c r="F11" s="100" t="inlineStr"/>
      <c r="G11" s="100" t="inlineStr">
        <is>
          <t>None</t>
        </is>
      </c>
      <c r="H11" s="100" t="n">
        <v>0</v>
      </c>
    </row>
    <row r="12">
      <c r="A12" s="100" t="inlineStr">
        <is>
          <t>EVG1022-SX9</t>
        </is>
      </c>
      <c r="B12" s="100" t="inlineStr">
        <is>
          <t>2. Diagnostics Log</t>
        </is>
      </c>
      <c r="C12" s="100" t="inlineStr">
        <is>
          <t>PA-40 classes differ from federal: box 16 compensation, no carryover, no wash-sale rule</t>
        </is>
      </c>
      <c r="D12" s="100" t="inlineStr">
        <is>
          <t>Same risk - PA adjustments to federal amounts are separate state inputs.</t>
        </is>
      </c>
      <c r="E12" s="100" t="inlineStr">
        <is>
          <t>Pennsylvania return &gt; income class adjustments: PA compensation from box 16; PA gains adjustment to remove the carryover and the code W adjustment; 1099-R PA exclusion (screen/field per current release - verify).</t>
        </is>
      </c>
      <c r="F12" s="100" t="inlineStr"/>
      <c r="G12" s="100" t="inlineStr">
        <is>
          <t>None</t>
        </is>
      </c>
      <c r="H12" s="100" t="n">
        <v>47000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EVG1022</t>
        </is>
      </c>
      <c r="B14" s="57" t="n">
        <v>2025</v>
      </c>
      <c r="C14" s="57" t="inlineStr">
        <is>
          <t>none fired</t>
        </is>
      </c>
      <c r="D14" s="57" t="inlineStr">
        <is>
          <t>[No diagnostic - logged by preparer] Single PA-coded W-2 for a mobile executive - MA workday allocation</t>
        </is>
      </c>
      <c r="E14" s="57" t="inlineStr">
        <is>
          <t>State Allocation</t>
        </is>
      </c>
      <c r="F14" s="57" t="inlineStr">
        <is>
          <t>Yes</t>
        </is>
      </c>
      <c r="G14" s="57" t="inlineStr">
        <is>
          <t>Wages, Salaries, Tips (W-2) worksheet &gt; state/local section: add a multi-state allocation row - MA wages $44,727 (410,000 x 18/165 workdays) - and activate the MA nonresident return (Form 1-NR/PY). Keep the PA row at box 16 ($441,000; PA taxes residents on all compensation). Verify field path in current release.</t>
        </is>
      </c>
      <c r="H14" s="3" t="n">
        <v>44727</v>
      </c>
      <c r="I14" s="57" t="inlineStr">
        <is>
          <t>Signed Off</t>
        </is>
      </c>
      <c r="J14" s="57" t="inlineStr">
        <is>
          <t>D. Moreau (senior staff)</t>
        </is>
      </c>
      <c r="K14" s="57" t="inlineStr">
        <is>
          <t>M. Osei (manager)</t>
        </is>
      </c>
      <c r="L14" s="57" t="inlineStr">
        <is>
          <t>EVG1022-SX1 | Workbook tab 23. Multi-State W-2 Days | Workdays from the Outlook export: PA 112, NJ 22, MA 18, IL 13 = 165 (4 holidays + 4 PTO excluded). Massachusetts uses the working-day ratio for nonresident employees.</t>
        </is>
      </c>
    </row>
    <row r="15">
      <c r="A15" s="70" t="inlineStr">
        <is>
          <t>EVG1022</t>
        </is>
      </c>
      <c r="B15" s="70" t="n">
        <v>2025</v>
      </c>
      <c r="C15" s="70" t="inlineStr">
        <is>
          <t>none fired</t>
        </is>
      </c>
      <c r="D15" s="70" t="inlineStr">
        <is>
          <t>[No diagnostic - logged by preparer] NJ reciprocity and Illinois 30-day threshold - do NOT generate NJ/IL returns</t>
        </is>
      </c>
      <c r="E15" s="70" t="inlineStr">
        <is>
          <t>State Allocation</t>
        </is>
      </c>
      <c r="F15" s="70" t="inlineStr">
        <is>
          <t>No</t>
        </is>
      </c>
      <c r="G15" s="70" t="inlineStr">
        <is>
          <t>No NJ or IL state rows on the W-2 worksheet; leave the NJ/IL returns inactive. Document on the Diagnostics Log and tab 23 notes: NJ 22 days - reciprocity (PA only); IL 13 days &lt;= 30 - not IL-source (assumption to verify; IL tax at stake about $1,599).</t>
        </is>
      </c>
      <c r="H15" s="5" t="n">
        <v>0</v>
      </c>
      <c r="I15" s="70" t="inlineStr">
        <is>
          <t>Signed Off</t>
        </is>
      </c>
      <c r="J15" s="70" t="inlineStr">
        <is>
          <t>D. Moreau (senior staff)</t>
        </is>
      </c>
      <c r="K15" s="70" t="inlineStr">
        <is>
          <t>M. Osei (manager)</t>
        </is>
      </c>
      <c r="L15" s="70" t="inlineStr">
        <is>
          <t>EVG1022-SX2 | Workbook tab 2. Diagnostics Log | Workbook tab 23 note column records both rules.</t>
        </is>
      </c>
    </row>
    <row r="16">
      <c r="A16" s="57" t="inlineStr">
        <is>
          <t>EVG1022</t>
        </is>
      </c>
      <c r="B16" s="57" t="n">
        <v>2025</v>
      </c>
      <c r="C16" s="57" t="inlineStr">
        <is>
          <t>none fired</t>
        </is>
      </c>
      <c r="D16" s="57" t="inlineStr">
        <is>
          <t>[No diagnostic - logged by preparer] PA resident credit (Schedule G-L) for MA tax - limited to PA tax on the MA income</t>
        </is>
      </c>
      <c r="E16" s="57" t="inlineStr">
        <is>
          <t>State Allocation</t>
        </is>
      </c>
      <c r="F16" s="57" t="inlineStr">
        <is>
          <t>Yes</t>
        </is>
      </c>
      <c r="G16" s="57" t="inlineStr">
        <is>
          <t>PA return &gt; Resident credit (Schedule G-L) input: income taxed by MA $44,727, MA tax $2,191; credit = MIN(2,191, 44,727 x 3.07% = 1,373) = $1,373 (override if the default differs). Tab 7 column G = PA tax before credit $17,821; column B = PA taxable income $580,485 so G x D = PA tax on the MA income. Verify field path in current release.</t>
        </is>
      </c>
      <c r="H16" s="3" t="n">
        <v>1373</v>
      </c>
      <c r="I16" s="57" t="inlineStr">
        <is>
          <t>Signed Off</t>
        </is>
      </c>
      <c r="J16" s="57" t="inlineStr">
        <is>
          <t>D. Moreau (senior staff)</t>
        </is>
      </c>
      <c r="K16" s="57" t="inlineStr">
        <is>
          <t>M. Osei (manager)</t>
        </is>
      </c>
      <c r="L16" s="57" t="inlineStr">
        <is>
          <t>EVG1022-SX3 | Workbook tab 7. Multi-State Allocation | Used the income MA actually taxed (box 1 based) rather than PA-measured wages incl. 401(k) deferrals - conservative.</t>
        </is>
      </c>
    </row>
    <row r="17">
      <c r="A17" s="70" t="inlineStr">
        <is>
          <t>EVG1022</t>
        </is>
      </c>
      <c r="B17" s="70" t="n">
        <v>2025</v>
      </c>
      <c r="C17" s="70" t="inlineStr">
        <is>
          <t>none fired</t>
        </is>
      </c>
      <c r="D17" s="70" t="inlineStr">
        <is>
          <t>[No diagnostic - logged by preparer] 401(k) lump sum with employer stock in kind - NUA (only cost basis taxable)</t>
        </is>
      </c>
      <c r="E17" s="70" t="inlineStr">
        <is>
          <t>Other</t>
        </is>
      </c>
      <c r="F17" s="70" t="inlineStr">
        <is>
          <t>Yes</t>
        </is>
      </c>
      <c r="G17" s="70" t="inlineStr">
        <is>
          <t>Income &gt; Pensions, IRAs (1099-R) worksheet: distribution 1 - gross $640,000, taxable $96,000, box 6 NUA $544,000, code 2, total distribution; distribution 2 - gross $780,000, taxable $0, code G (rollover). Tab 18: Box 1 - Box 6 = $96,000. Set up the 8,000 KMDV shares in the client's basis records at $12.00/share. PA: mark the 1099-R as not PA-taxable (retirement distribution after retirement) on the PA 1099-R input - verify field path in current release.</t>
        </is>
      </c>
      <c r="H17" s="5" t="n">
        <v>96000</v>
      </c>
      <c r="I17" s="70" t="inlineStr">
        <is>
          <t>Signed Off</t>
        </is>
      </c>
      <c r="J17" s="70" t="inlineStr">
        <is>
          <t>D. Moreau (senior staff)</t>
        </is>
      </c>
      <c r="K17" s="70" t="inlineStr">
        <is>
          <t>M. Osei (manager)</t>
        </is>
      </c>
      <c r="L17" s="70" t="inlineStr">
        <is>
          <t>EVG1022-SX4 | Workbook tab 18. NUA &amp; IRD Deduction | Code 2 (separation from service in/after the year he turned 55) - no 10% tax, no Form 5329. Taxing the full FMV would cost $199,260 of additional federal tax (answer key what-if).</t>
        </is>
      </c>
    </row>
    <row r="18">
      <c r="A18" s="57" t="inlineStr">
        <is>
          <t>EVG1022</t>
        </is>
      </c>
      <c r="B18" s="57" t="n">
        <v>2025</v>
      </c>
      <c r="C18" s="57" t="inlineStr">
        <is>
          <t>none fired</t>
        </is>
      </c>
      <c r="D18" s="57" t="inlineStr">
        <is>
          <t>[No diagnostic - logged by preparer] Cross-account wash sale - spouse's IRA bought the same ETF (Rev. Rul. 2008-5)</t>
        </is>
      </c>
      <c r="E18" s="57" t="inlineStr">
        <is>
          <t>Capital Loss</t>
        </is>
      </c>
      <c r="F18" s="57" t="inlineStr">
        <is>
          <t>Yes</t>
        </is>
      </c>
      <c r="G18" s="57" t="inlineStr">
        <is>
          <t>Gains and Losses &gt; Capital Gains and Losses (Form 8949) - IVV line: adjustment code W, adjustment amount +$18,000 (loss disallowed). Do NOT increase any basis (IRA purchase - the loss is permanently lost).</t>
        </is>
      </c>
      <c r="H18" s="3" t="n">
        <v>18000</v>
      </c>
      <c r="I18" s="57" t="inlineStr">
        <is>
          <t>Signed Off</t>
        </is>
      </c>
      <c r="J18" s="57" t="inlineStr">
        <is>
          <t>D. Moreau (senior staff)</t>
        </is>
      </c>
      <c r="K18" s="57" t="inlineStr">
        <is>
          <t>M. Osei (manager)</t>
        </is>
      </c>
      <c r="L18" s="57" t="inlineStr">
        <is>
          <t>EVG1022-SX5 | Workbook tab 17. Equity Comp &amp; Wash Sales | Evidence: Ellen's 02/24 email + Schwab IRA ****8831 Q4 statement (buy 420 sh IVV 11/20/2025).</t>
        </is>
      </c>
    </row>
    <row r="19">
      <c r="A19" s="70" t="inlineStr">
        <is>
          <t>EVG1022</t>
        </is>
      </c>
      <c r="B19" s="70" t="n">
        <v>2025</v>
      </c>
      <c r="C19" s="70" t="inlineStr">
        <is>
          <t>none fired</t>
        </is>
      </c>
      <c r="D19" s="70" t="inlineStr">
        <is>
          <t>[No diagnostic - logged by preparer] Bond premium (box 11/13) and accrued interest paid at purchase</t>
        </is>
      </c>
      <c r="E19" s="70" t="inlineStr">
        <is>
          <t>Other</t>
        </is>
      </c>
      <c r="F19" s="70" t="inlineStr">
        <is>
          <t>Yes</t>
        </is>
      </c>
      <c r="G19" s="70" t="inlineStr">
        <is>
          <t>Interest Income (1099-INT) worksheet: box 11 bond premium $786.12 and box 13 $1,104.30 in their fields (ABP adjustment line on Schedule B; line 2a $6,396); add a separate line 'Accrued interest' -$2,981.94. Line 2b $9,085.</t>
        </is>
      </c>
      <c r="H19" s="5" t="n">
        <v>3768</v>
      </c>
      <c r="I19" s="70" t="inlineStr">
        <is>
          <t>Signed Off</t>
        </is>
      </c>
      <c r="J19" s="70" t="inlineStr">
        <is>
          <t>D. Moreau (senior staff)</t>
        </is>
      </c>
      <c r="K19" s="70" t="inlineStr">
        <is>
          <t>M. Osei (manager)</t>
        </is>
      </c>
      <c r="L19" s="70" t="inlineStr">
        <is>
          <t>EVG1022-SX6 | Workbook tab 14. Bond Interest &amp; Premium | Override amount = 786.12 + 2,981.94 reduction of taxable interest.</t>
        </is>
      </c>
    </row>
    <row r="20">
      <c r="A20" s="57" t="inlineStr">
        <is>
          <t>EVG1022</t>
        </is>
      </c>
      <c r="B20" s="57" t="n">
        <v>2025</v>
      </c>
      <c r="C20" s="57" t="inlineStr">
        <is>
          <t>none fired</t>
        </is>
      </c>
      <c r="D20" s="57" t="inlineStr">
        <is>
          <t>[No diagnostic - logged by preparer] New client - prior preparer's capital loss carryover had the wrong character</t>
        </is>
      </c>
      <c r="E20" s="57" t="inlineStr">
        <is>
          <t>Capital Loss</t>
        </is>
      </c>
      <c r="F20" s="57" t="inlineStr">
        <is>
          <t>Yes</t>
        </is>
      </c>
      <c r="G20" s="57" t="inlineStr">
        <is>
          <t>Gains and Losses &gt; Capital Loss Carryovers: short-term $26,000, long-term $12,000 (recomputed from the 2024 Schedule D: ST (29,000), LT (12,000), $3,000 allowed absorbs ST first). Tax $1,000 lower than the all-LT version.</t>
        </is>
      </c>
      <c r="H20" s="3" t="n">
        <v>26000</v>
      </c>
      <c r="I20" s="57" t="inlineStr">
        <is>
          <t>Signed Off</t>
        </is>
      </c>
      <c r="J20" s="57" t="inlineStr">
        <is>
          <t>D. Moreau (senior staff)</t>
        </is>
      </c>
      <c r="K20" s="57" t="inlineStr">
        <is>
          <t>M. Osei (manager)</t>
        </is>
      </c>
      <c r="L20" s="57" t="inlineStr">
        <is>
          <t>EVG1022-SX7 | Workbook tab 10. Capital Loss Carryover | Workbook tab 10 (corrected formulas): D16 26,000 / D17 12,000.</t>
        </is>
      </c>
    </row>
    <row r="21">
      <c r="A21" s="70" t="inlineStr">
        <is>
          <t>EVG1022</t>
        </is>
      </c>
      <c r="B21" s="70" t="n">
        <v>2025</v>
      </c>
      <c r="C21" s="70" t="inlineStr">
        <is>
          <t>— (varies by release)</t>
        </is>
      </c>
      <c r="D21" s="70" t="inlineStr">
        <is>
          <t>Penalty/2210 informational message may appear for missing prior-year data - verify; otherwise silent</t>
        </is>
      </c>
      <c r="E21" s="70" t="inlineStr">
        <is>
          <t>Est. Tax Penalty</t>
        </is>
      </c>
      <c r="F21" s="70" t="inlineStr">
        <is>
          <t>Yes</t>
        </is>
      </c>
      <c r="G21" s="70" t="inlineStr">
        <is>
          <t>General &gt; Payments &gt; Penalties and Interest (Form 2210): 2024 tax $164,982, 2024 AGI $669,300; estimates by date (4 x $8,000 timely). Required annual payment = lesser of 90% of 2025 tax $126,067 or 110% of 2024 tax $181,480 -&gt; $126,067; paid $137,769 (each quarter covered) -&gt; no penalty, no override.</t>
        </is>
      </c>
      <c r="H21" s="5" t="n">
        <v>0</v>
      </c>
      <c r="I21" s="70" t="inlineStr">
        <is>
          <t>Signed Off</t>
        </is>
      </c>
      <c r="J21" s="70" t="inlineStr">
        <is>
          <t>D. Moreau (senior staff)</t>
        </is>
      </c>
      <c r="K21" s="70" t="inlineStr">
        <is>
          <t>M. Osei (manager)</t>
        </is>
      </c>
      <c r="L21" s="70" t="inlineStr">
        <is>
          <t>EVG1022-SX8 | Workbook tab 8. Est. Tax Penalty (2210)</t>
        </is>
      </c>
    </row>
    <row r="22">
      <c r="A22" s="57" t="inlineStr">
        <is>
          <t>EVG1022</t>
        </is>
      </c>
      <c r="B22" s="57" t="n">
        <v>2025</v>
      </c>
      <c r="C22" s="57" t="inlineStr">
        <is>
          <t>none fired</t>
        </is>
      </c>
      <c r="D22" s="57" t="inlineStr">
        <is>
          <t>[No diagnostic - logged by preparer] PA-40 classes differ from federal: box 16 compensation, no carryover, no wash-sale rule</t>
        </is>
      </c>
      <c r="E22" s="57" t="inlineStr">
        <is>
          <t>State Allocation</t>
        </is>
      </c>
      <c r="F22" s="57" t="inlineStr">
        <is>
          <t>Yes</t>
        </is>
      </c>
      <c r="G22" s="57" t="inlineStr">
        <is>
          <t>PA return inputs: compensation = W-2 box 16 ($506,000); PA net gains = 2025 sales only $47,000 (no PA carryover; IVV loss allowed - PA has no wash-sale provision, verify); 1099-R marked non-PA-taxable (retirement). PA taxable income $580,485, tax $17,821. Verify field paths in current release.</t>
        </is>
      </c>
      <c r="H22" s="3" t="n">
        <v>47000</v>
      </c>
      <c r="I22" s="57" t="inlineStr">
        <is>
          <t>Signed Off</t>
        </is>
      </c>
      <c r="J22" s="57" t="inlineStr">
        <is>
          <t>D. Moreau (senior staff)</t>
        </is>
      </c>
      <c r="K22" s="57" t="inlineStr">
        <is>
          <t>M. Osei (manager)</t>
        </is>
      </c>
      <c r="L22" s="57" t="inlineStr">
        <is>
          <t>EVG1022-SX9 | Workbook tab 2. Diagnostics Log | PA wash-sale treatment is an assumption flagged for the signer (PA tax effect $553).</t>
        </is>
      </c>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inlineStr">
        <is>
          <t>Massachusetts (nonresident) -&gt; PA-40 Schedule G-L credit</t>
        </is>
      </c>
      <c r="B12" s="3" t="n">
        <v>580485</v>
      </c>
      <c r="C12" s="3" t="n">
        <v>44727</v>
      </c>
      <c r="D12" s="12">
        <f>IF(B12=0,0,C12/B12)</f>
        <v/>
      </c>
      <c r="E12" s="3" t="n">
        <v>2191</v>
      </c>
      <c r="F12" s="3">
        <f>MIN(E12,G12*D12)</f>
        <v/>
      </c>
      <c r="G12" t="n">
        <v>17821</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v>140074</v>
      </c>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v>669300</v>
      </c>
      <c r="F14" s="57" t="n"/>
    </row>
    <row r="15" ht="25.5" customHeight="1">
      <c r="A15" s="71" t="inlineStr">
        <is>
          <t>Prior-Year Tax</t>
        </is>
      </c>
      <c r="B15" s="97" t="n"/>
      <c r="C15" s="97" t="n"/>
      <c r="D15" s="96" t="n"/>
      <c r="E15" s="5" t="n">
        <v>164982</v>
      </c>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v>137769</v>
      </c>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v>34442.25</v>
      </c>
      <c r="D25" s="57" t="inlineStr">
        <is>
          <t>Y</t>
        </is>
      </c>
      <c r="E25" s="3">
        <f>MAX(0,B25-C25)</f>
        <v/>
      </c>
      <c r="F25" s="57" t="inlineStr">
        <is>
          <t>W-2 withholding 105,769 (incl. 2,169 addl Medicare) treated as paid evenly 26,442.25 + 8,000 estimate</t>
        </is>
      </c>
    </row>
    <row r="26">
      <c r="A26" s="70" t="inlineStr">
        <is>
          <t>Q2 (6/15)</t>
        </is>
      </c>
      <c r="B26" s="5">
        <f>$E$18*0.25</f>
        <v/>
      </c>
      <c r="C26" s="5" t="n">
        <v>34442.25</v>
      </c>
      <c r="D26" s="70" t="inlineStr">
        <is>
          <t>Y</t>
        </is>
      </c>
      <c r="E26" s="5">
        <f>MAX(0,B26-C26)</f>
        <v/>
      </c>
      <c r="F26" s="70" t="n"/>
    </row>
    <row r="27">
      <c r="A27" s="57" t="inlineStr">
        <is>
          <t>Q3 (9/15)</t>
        </is>
      </c>
      <c r="B27" s="3">
        <f>$E$18*0.25</f>
        <v/>
      </c>
      <c r="C27" s="3" t="n">
        <v>34442.25</v>
      </c>
      <c r="D27" s="57" t="inlineStr">
        <is>
          <t>Y</t>
        </is>
      </c>
      <c r="E27" s="3">
        <f>MAX(0,B27-C27)</f>
        <v/>
      </c>
      <c r="F27" s="57" t="n"/>
    </row>
    <row r="28">
      <c r="A28" s="70" t="inlineStr">
        <is>
          <t>Q4 (1/15 following yr)</t>
        </is>
      </c>
      <c r="B28" s="5">
        <f>$E$18*0.25</f>
        <v/>
      </c>
      <c r="C28" s="5" t="n">
        <v>34442.25</v>
      </c>
      <c r="D28" s="70" t="inlineStr">
        <is>
          <t>Y</t>
        </is>
      </c>
      <c r="E28" s="5">
        <f>MAX(0,B28-C28)</f>
        <v/>
      </c>
      <c r="F28" s="70" t="inlineStr">
        <is>
          <t>Q4 estimate paid 01/15/2026 (timely for 2025); 3,000 paid with 4868 not counted</t>
        </is>
      </c>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v>3000</v>
      </c>
      <c r="E10" s="57" t="n"/>
    </row>
    <row r="11" ht="25.5" customHeight="1">
      <c r="A11" s="71" t="inlineStr">
        <is>
          <t>Prior-Year Short-Term Net Loss (before $3,000 limit)</t>
        </is>
      </c>
      <c r="B11" s="97" t="n"/>
      <c r="C11" s="96" t="n"/>
      <c r="D11" s="5" t="n">
        <v>29000</v>
      </c>
      <c r="E11" s="70" t="n"/>
    </row>
    <row r="12" ht="25.5" customHeight="1">
      <c r="A12" s="58" t="inlineStr">
        <is>
          <t>Prior-Year Long-Term Net Loss (before $3,000 limit)</t>
        </is>
      </c>
      <c r="B12" s="97" t="n"/>
      <c r="C12" s="96" t="n"/>
      <c r="D12" s="3" t="n">
        <v>12000</v>
      </c>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inlineStr">
        <is>
          <t>Pfizer Inv. Ent. 4.75% 05/19/2033 (CUSIP 716973AE2) - bought 03/12/2025</t>
        </is>
      </c>
      <c r="B11" s="3" t="n">
        <v>9500</v>
      </c>
      <c r="C11" s="3" t="n">
        <v>-2981.94</v>
      </c>
      <c r="D11" s="3" t="n">
        <v>8500</v>
      </c>
      <c r="E11" s="3" t="n">
        <v>786.12</v>
      </c>
      <c r="F11" s="3" t="inlineStr">
        <is>
          <t>Taxable - box 11 ABP (constant yield, broker-computed) on Sch B 'ABP Adjustment'; accrued interest 113 days reversed as 'Accrued interest'</t>
        </is>
      </c>
    </row>
    <row r="12">
      <c r="A12" s="70" t="inlineStr">
        <is>
          <t>Pennsylvania Turnpike Commission 5% 12/01/2038</t>
        </is>
      </c>
      <c r="B12" s="5" t="n">
        <v>7500</v>
      </c>
      <c r="C12" s="5" t="n">
        <v>0</v>
      </c>
      <c r="D12" s="5" t="n">
        <v>6750</v>
      </c>
      <c r="E12" s="5" t="n">
        <v>1104.3</v>
      </c>
      <c r="F12" s="5" t="inlineStr">
        <is>
          <t>Tax-exempt - box 13 premium reduces line 2a to 6,396; not deductible; PA obligation exempt for PA</t>
        </is>
      </c>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inlineStr">
        <is>
          <t>IVV 400 sh - Gregory Schwab ****4410, sold 11/10/2025 (acq 02/19/2025)</t>
        </is>
      </c>
      <c r="B12" s="3" t="n">
        <v>245000</v>
      </c>
      <c r="C12" s="3" t="n">
        <v>0</v>
      </c>
      <c r="D12" s="3">
        <f>B12+C12</f>
        <v/>
      </c>
      <c r="E12" s="3" t="inlineStr">
        <is>
          <t>YES - Ellen's Schwab IRA ****8831 bought 420 sh IVV 11/20/2025</t>
        </is>
      </c>
      <c r="F12" s="3" t="n">
        <v>18000</v>
      </c>
      <c r="G12" s="3" t="inlineStr">
        <is>
          <t>Rev. Rul. 2008-5 / Pub. 550 (spouse): loss disallowed permanently (code W); no basis added to the IRA. 1099-B box 1g blank.</t>
        </is>
      </c>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inlineStr">
        <is>
          <t>Gregory - Keystone 401(k) KMDV stock in kind (Fidelity 1099-R, code 2)</t>
        </is>
      </c>
      <c r="B11" s="3" t="n">
        <v>640000</v>
      </c>
      <c r="C11" s="3" t="n">
        <v>544000</v>
      </c>
      <c r="D11" s="3" t="inlineStr">
        <is>
          <t>Box 2a 96,000 = 8,000 sh x $12.00 plan cost</t>
        </is>
      </c>
      <c r="E11" s="3">
        <f>B11-C11</f>
        <v/>
      </c>
      <c r="F11" s="57" t="inlineStr">
        <is>
          <t>NUA - lump-sum after separation 08/29/2025; box 6 deferred until sale (LTCG). Separate 1099-R $780,000 code G rollover - nontaxable. PA: not taxable (retirement).</t>
        </is>
      </c>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inlineStr">
        <is>
          <t>Pennsylvania (resident; HQ King of Prussia / home office)</t>
        </is>
      </c>
      <c r="B11" s="3" t="n">
        <v>112</v>
      </c>
      <c r="C11" s="3" t="n">
        <v>165</v>
      </c>
      <c r="D11" s="3" t="n">
        <v>410000</v>
      </c>
      <c r="E11" s="3">
        <f>IF(C11=0,0,B11/C11)</f>
        <v/>
      </c>
      <c r="F11" s="3">
        <f>E11*D11</f>
        <v/>
      </c>
      <c r="G11" s="57" t="inlineStr">
        <is>
          <t>Resident - PA taxes all compensation (box 16 $441,000 incl. 401(k) deferrals)</t>
        </is>
      </c>
    </row>
    <row r="12">
      <c r="A12" s="70" t="inlineStr">
        <is>
          <t>New Jersey</t>
        </is>
      </c>
      <c r="B12" s="5" t="n">
        <v>22</v>
      </c>
      <c r="C12" s="5" t="n">
        <v>165</v>
      </c>
      <c r="D12" s="5" t="n">
        <v>410000</v>
      </c>
      <c r="E12" s="5">
        <f>IF(C12=0,0,B12/C12)</f>
        <v/>
      </c>
      <c r="F12" s="5">
        <f>E12*D12</f>
        <v/>
      </c>
      <c r="G12" s="70" t="inlineStr">
        <is>
          <t>PA-NJ reciprocal agreement - NJ wages of a PA resident taxed only by PA; NO NJ-1040NR</t>
        </is>
      </c>
    </row>
    <row r="13">
      <c r="A13" s="57" t="inlineStr">
        <is>
          <t>Massachusetts</t>
        </is>
      </c>
      <c r="B13" s="3" t="n">
        <v>18</v>
      </c>
      <c r="C13" s="3" t="n">
        <v>165</v>
      </c>
      <c r="D13" s="3" t="n">
        <v>410000</v>
      </c>
      <c r="E13" s="3">
        <f>IF(C13=0,0,B13/C13)</f>
        <v/>
      </c>
      <c r="F13" s="3">
        <f>E13*D13</f>
        <v/>
      </c>
      <c r="G13" s="57" t="inlineStr">
        <is>
          <t>No day threshold - MA Form 1-NR/PY; allocated wages = MA-source wages (enter as MA state wage row)</t>
        </is>
      </c>
    </row>
    <row r="14">
      <c r="A14" s="70" t="inlineStr">
        <is>
          <t>Illinois</t>
        </is>
      </c>
      <c r="B14" s="5" t="n">
        <v>13</v>
      </c>
      <c r="C14" s="5" t="n">
        <v>165</v>
      </c>
      <c r="D14" s="5" t="n">
        <v>410000</v>
      </c>
      <c r="E14" s="5">
        <f>IF(C14=0,0,B14/C14)</f>
        <v/>
      </c>
      <c r="F14" s="5">
        <f>E14*D14</f>
        <v/>
      </c>
      <c r="G14" s="70" t="inlineStr">
        <is>
          <t>&lt;= 30 IL working days - nonresident employee compensation not IL-source (rule eff. 2020); no IL-1040 (assumption - verify)</t>
        </is>
      </c>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2026-10-12T16:23:00Z</dcterms:modified>
  <cp:lastModifiedBy>Shane Kennedy</cp:lastModifiedBy>
  <cp:revision>0</cp:revision>
</cp:coreProperties>
</file>