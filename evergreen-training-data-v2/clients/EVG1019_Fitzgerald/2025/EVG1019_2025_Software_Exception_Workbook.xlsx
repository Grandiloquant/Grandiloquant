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EVG1019 - Owen &amp; Chloe Fitzgerald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EVG1019-SX1</t>
        </is>
      </c>
      <c r="B4" s="100" t="inlineStr">
        <is>
          <t>15. Mortgage Interest Limit</t>
        </is>
      </c>
      <c r="C4" s="100" t="inlineStr">
        <is>
          <t>Grandfathered 2016 mortgage limited to $750,000 by default</t>
        </is>
      </c>
      <c r="D4" s="100" t="inlineStr">
        <is>
          <t>Same risk - the mortgage limitation needs the loan date / grandfathered status entered to use the $1M limit.</t>
        </is>
      </c>
      <c r="E4" s="100" t="inlineStr">
        <is>
          <t>Itemized Deductions &gt; Interest: enter the 1098 with origination date 08/19/2016 / pre-12/16/2017 indicator so the qualified-loan limit is $1,000,000 (screen/field per current release - verify).</t>
        </is>
      </c>
      <c r="F4" s="100" t="inlineStr"/>
      <c r="G4" s="100" t="inlineStr">
        <is>
          <t>None</t>
        </is>
      </c>
      <c r="H4" s="100" t="n">
        <v>25506</v>
      </c>
    </row>
    <row r="5">
      <c r="A5" s="100" t="inlineStr">
        <is>
          <t>EVG1019-SX2</t>
        </is>
      </c>
      <c r="B5" s="100" t="inlineStr">
        <is>
          <t>2. Diagnostics Log</t>
        </is>
      </c>
      <c r="C5" s="100" t="inlineStr">
        <is>
          <t>Home-office share of mortgage interest and real estate tax deducted on both Form 8829 and Schedule A</t>
        </is>
      </c>
      <c r="D5" s="100" t="inlineStr">
        <is>
          <t>Same - ProConnect splits mortgage interest/taxes between 8829 and Schedule A only when they are entered as home-office indirect expenses (not when also entered separately on Schedule A).</t>
        </is>
      </c>
      <c r="E5" s="100" t="inlineStr">
        <is>
          <t>Business Use of Home (8829): enter total mortgage interest and taxes as indirect expenses; do not also enter 100% on Itemized Deductions (screen/field per current release - verify).</t>
        </is>
      </c>
      <c r="F5" s="100" t="inlineStr"/>
      <c r="G5" s="100" t="inlineStr">
        <is>
          <t>None</t>
        </is>
      </c>
      <c r="H5" s="100" t="n">
        <v>8856</v>
      </c>
    </row>
    <row r="6">
      <c r="A6" s="100" t="inlineStr">
        <is>
          <t>EVG1019-SX3</t>
        </is>
      </c>
      <c r="B6" s="100" t="inlineStr">
        <is>
          <t>2. Diagnostics Log</t>
        </is>
      </c>
      <c r="C6" s="100" t="inlineStr">
        <is>
          <t>SALT: the 01/15/2026 NC estimate and the EV highway-use tax</t>
        </is>
      </c>
      <c r="D6" s="100" t="inlineStr">
        <is>
          <t>Same - the federal deduction follows the payment dates and the income-vs-sales-tax election entered.</t>
        </is>
      </c>
      <c r="E6" s="100" t="inlineStr">
        <is>
          <t>Itemized Deductions &gt; Taxes: state income tax paid in 2025 = 11,890 (exclude the 01/15/2026 payment); sales tax option not elected (screen/field per current release - verify).</t>
        </is>
      </c>
      <c r="F6" s="100" t="inlineStr"/>
      <c r="G6" s="100" t="inlineStr">
        <is>
          <t>None</t>
        </is>
      </c>
      <c r="H6" s="100" t="n">
        <v>11890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EVG1019</t>
        </is>
      </c>
      <c r="B14" s="57" t="n">
        <v>2025</v>
      </c>
      <c r="C14" s="57" t="inlineStr">
        <is>
          <t>none fired</t>
        </is>
      </c>
      <c r="D14" s="57" t="inlineStr">
        <is>
          <t>[No diagnostic - logged by preparer] Grandfathered 2016 mortgage limited to $750,000 by default</t>
        </is>
      </c>
      <c r="E14" s="57" t="inlineStr">
        <is>
          <t>Other</t>
        </is>
      </c>
      <c r="F14" s="57" t="inlineStr">
        <is>
          <t>Yes</t>
        </is>
      </c>
      <c r="G14" s="57" t="inlineStr">
        <is>
          <t>Itemized Deductions &gt; Home Mortgage Interest: mark the loan as pre-12/16/2017 acquisition debt (originated 08/19/2016, 1098 box 3) so the $1,000,000 limit applies, or use the interest-limitation override = 100% deductible. Balance $872,000 (interest-only, constant) &lt; $1,000,000 -&gt; interest $28,340 fully deductible: Schedule A $25,506 (90%) + Form 8829 $2,834 (10%). Tape on the 1098 page (WP 14).</t>
        </is>
      </c>
      <c r="H14" s="3" t="n">
        <v>25506</v>
      </c>
      <c r="I14" s="57" t="inlineStr">
        <is>
          <t>Signed Off</t>
        </is>
      </c>
      <c r="J14" s="57" t="inlineStr">
        <is>
          <t>Staff preparer</t>
        </is>
      </c>
      <c r="K14" s="57" t="inlineStr">
        <is>
          <t>L. Chen (senior)</t>
        </is>
      </c>
      <c r="L14" s="57" t="inlineStr">
        <is>
          <t>EVG1019-SX1 | Workbook tab 15. Mortgage Interest Limit | 2026: loan begins amortizing 10/2026 - no new debt, still grandfathered.</t>
        </is>
      </c>
    </row>
    <row r="15">
      <c r="A15" s="70" t="inlineStr">
        <is>
          <t>EVG1019</t>
        </is>
      </c>
      <c r="B15" s="70" t="n">
        <v>2025</v>
      </c>
      <c r="C15" s="70" t="inlineStr">
        <is>
          <t>none fired</t>
        </is>
      </c>
      <c r="D15" s="70" t="inlineStr">
        <is>
          <t>[No diagnostic - logged by preparer] Home-office share of mortgage interest and real estate tax deducted on both Form 8829 and Schedule A</t>
        </is>
      </c>
      <c r="E15" s="70" t="inlineStr">
        <is>
          <t>Other</t>
        </is>
      </c>
      <c r="F15" s="70" t="inlineStr">
        <is>
          <t>No</t>
        </is>
      </c>
      <c r="G15" s="70" t="inlineStr">
        <is>
          <t>Business Use of Home (8829): enter interest $28,340 and real estate tax $9,840 as total (indirect) expenses so 10% ($2,834 / $984) goes to 8829 and only the 90% personal share reaches Schedule A ($25,506 / $8,856); or reduce the Schedule A inputs manually. Office 300/3,000 sq ft; 8829 total $7,017 incl. depreciation $2,359 (vs simplified $1,500).</t>
        </is>
      </c>
      <c r="H15" s="5" t="n">
        <v>8856</v>
      </c>
      <c r="I15" s="70" t="inlineStr">
        <is>
          <t>Signed Off</t>
        </is>
      </c>
      <c r="J15" s="70" t="inlineStr">
        <is>
          <t>Staff preparer</t>
        </is>
      </c>
      <c r="K15" s="70" t="inlineStr">
        <is>
          <t>L. Chen (senior)</t>
        </is>
      </c>
      <c r="L15" s="70" t="inlineStr">
        <is>
          <t>EVG1019-SX2 | Workbook tab 2. Diagnostics Log | Accumulated office depreciation ($16,024) is unrecaptured 1250 gain on a future sale - not excludable under 121.</t>
        </is>
      </c>
    </row>
    <row r="16">
      <c r="A16" s="57" t="inlineStr">
        <is>
          <t>EVG1019</t>
        </is>
      </c>
      <c r="B16" s="57" t="n">
        <v>2025</v>
      </c>
      <c r="C16" s="57" t="inlineStr">
        <is>
          <t>none fired</t>
        </is>
      </c>
      <c r="D16" s="57" t="inlineStr">
        <is>
          <t>[No diagnostic - logged by preparer] SALT: the 01/15/2026 NC estimate and the EV highway-use tax</t>
        </is>
      </c>
      <c r="E16" s="57" t="inlineStr">
        <is>
          <t>Other</t>
        </is>
      </c>
      <c r="F16" s="57" t="inlineStr">
        <is>
          <t>Yes</t>
        </is>
      </c>
      <c r="G16" s="57" t="inlineStr">
        <is>
          <t>Itemized Deductions &gt; Taxes / State payments input: date-paid basis - NC income tax paid in 2025 = $11,890 (W-2 $7,350 + three 2025 estimates + 2024 Q4 paid 01/15/2025 + 2024 balance paid 04/15/2025); 01/15/2026 voucher excluded (2026 deduction; still a 2025 credit on the D-400). Income tax ($11,890) &gt; sales tax ($2,640 table + $1,560 HUT = $4,200) - elect income tax; HUT used only in the comparison (verify field path in current release).</t>
        </is>
      </c>
      <c r="H16" s="3" t="n">
        <v>11890</v>
      </c>
      <c r="I16" s="57" t="inlineStr">
        <is>
          <t>Signed Off</t>
        </is>
      </c>
      <c r="J16" s="57" t="inlineStr">
        <is>
          <t>Staff preparer</t>
        </is>
      </c>
      <c r="K16" s="57" t="inlineStr">
        <is>
          <t>L. Chen (senior)</t>
        </is>
      </c>
      <c r="L16" s="57" t="inlineStr">
        <is>
          <t>EVG1019-SX3 | Workbook tab 2. Diagnostics Log | Sales tax calculator figure is an assumption (Wake County 7.25%).</t>
        </is>
      </c>
    </row>
    <row r="17">
      <c r="A17" s="70" t="n"/>
      <c r="B17" s="70" t="n"/>
      <c r="C17" s="70" t="n"/>
      <c r="D17" s="70" t="n"/>
      <c r="E17" s="70" t="n"/>
      <c r="F17" s="70" t="n"/>
      <c r="G17" s="70" t="n"/>
      <c r="H17" s="5" t="n"/>
      <c r="I17" s="70" t="n"/>
      <c r="J17" s="70" t="n"/>
      <c r="K17" s="70" t="n"/>
      <c r="L17" s="70" t="n"/>
    </row>
    <row r="18">
      <c r="A18" s="57" t="n"/>
      <c r="B18" s="57" t="n"/>
      <c r="C18" s="57" t="n"/>
      <c r="D18" s="57" t="n"/>
      <c r="E18" s="57" t="n"/>
      <c r="F18" s="57" t="n"/>
      <c r="G18" s="57" t="n"/>
      <c r="H18" s="3" t="n"/>
      <c r="I18" s="57" t="n"/>
      <c r="J18" s="57" t="n"/>
      <c r="K18" s="57" t="n"/>
      <c r="L18" s="57" t="n"/>
    </row>
    <row r="19">
      <c r="A19" s="70" t="n"/>
      <c r="B19" s="70" t="n"/>
      <c r="C19" s="70" t="n"/>
      <c r="D19" s="70" t="n"/>
      <c r="E19" s="70" t="n"/>
      <c r="F19" s="70" t="n"/>
      <c r="G19" s="70" t="n"/>
      <c r="H19" s="5" t="n"/>
      <c r="I19" s="70" t="n"/>
      <c r="J19" s="70" t="n"/>
      <c r="K19" s="70" t="n"/>
      <c r="L19" s="70" t="n"/>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n"/>
      <c r="B13" s="57" t="n"/>
      <c r="C13" s="3" t="n"/>
      <c r="D13" s="3" t="n"/>
      <c r="E13" s="3">
        <f>C13-D13</f>
        <v/>
      </c>
      <c r="F13" s="57" t="n"/>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c r="F14" s="57" t="n"/>
    </row>
    <row r="15" ht="25.5" customHeight="1">
      <c r="A15" s="71" t="inlineStr">
        <is>
          <t>Prior-Year Tax</t>
        </is>
      </c>
      <c r="B15" s="97" t="n"/>
      <c r="C15" s="97" t="n"/>
      <c r="D15" s="96" t="n"/>
      <c r="E15" s="5" t="n"/>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c r="D25" s="57" t="n"/>
      <c r="E25" s="3">
        <f>MAX(0,B25-C25)</f>
        <v/>
      </c>
      <c r="F25" s="57" t="n"/>
    </row>
    <row r="26">
      <c r="A26" s="70" t="inlineStr">
        <is>
          <t>Q2 (6/15)</t>
        </is>
      </c>
      <c r="B26" s="5">
        <f>$E$18*0.25</f>
        <v/>
      </c>
      <c r="C26" s="5" t="n"/>
      <c r="D26" s="70" t="n"/>
      <c r="E26" s="5">
        <f>MAX(0,B26-C26)</f>
        <v/>
      </c>
      <c r="F26" s="70" t="n"/>
    </row>
    <row r="27">
      <c r="A27" s="57" t="inlineStr">
        <is>
          <t>Q3 (9/15)</t>
        </is>
      </c>
      <c r="B27" s="3">
        <f>$E$18*0.25</f>
        <v/>
      </c>
      <c r="C27" s="3" t="n"/>
      <c r="D27" s="57" t="n"/>
      <c r="E27" s="3">
        <f>MAX(0,B27-C27)</f>
        <v/>
      </c>
      <c r="F27" s="57" t="n"/>
    </row>
    <row r="28">
      <c r="A28" s="70" t="inlineStr">
        <is>
          <t>Q4 (1/15 following yr)</t>
        </is>
      </c>
      <c r="B28" s="5">
        <f>$E$18*0.25</f>
        <v/>
      </c>
      <c r="C28" s="5" t="n"/>
      <c r="D28" s="70" t="n"/>
      <c r="E28" s="5">
        <f>MAX(0,B28-C28)</f>
        <v/>
      </c>
      <c r="F28" s="70" t="n"/>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inlineStr">
        <is>
          <t>Oak City Mortgage - main home (10/1 interest-only ARM, originated 08/19/2016)</t>
        </is>
      </c>
      <c r="B12" s="3" t="n">
        <v>872000</v>
      </c>
      <c r="C12" s="3" t="n">
        <v>1000000</v>
      </c>
      <c r="D12" s="3" t="n">
        <v>28340</v>
      </c>
      <c r="E12" s="3">
        <f>IF(B12=0,0,MIN(1,C12/B12)*D12)</f>
        <v/>
      </c>
      <c r="F12" s="3" t="inlineStr">
        <is>
          <t>Pre-12/16/2017 acquisition debt -&gt; $1M limit; balance constant (interest-only) 872,000 -&gt; 100%. Split: Sch A 90% = 25,506; Form 8829 10% = 2,834. Axcess default at $750k: 21,938 (Sch A) - override.</t>
        </is>
      </c>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n"/>
      <c r="B11" s="6" t="n"/>
      <c r="C11" s="6" t="n"/>
      <c r="D11" s="7" t="n"/>
      <c r="E11" s="6" t="n"/>
      <c r="F11" s="6" t="n"/>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2026-10-12T16:22:59Z</dcterms:modified>
  <cp:lastModifiedBy>Shane Kennedy</cp:lastModifiedBy>
  <cp:revision>0</cp:revision>
</cp:coreProperties>
</file>