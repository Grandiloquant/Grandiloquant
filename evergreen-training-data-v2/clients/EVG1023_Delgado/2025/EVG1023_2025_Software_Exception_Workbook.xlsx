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2">
    <numFmt numFmtId="164" formatCode="#,##0;\(#,##0\)"/>
    <numFmt numFmtId="165" formatCode="yyyy-mm-dd h:mm:ss"/>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4">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xf numFmtId="165" fontId="0" fillId="6"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EVG1023 - Raymond &amp; Carla Delgado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EVG1023-SX1</t>
        </is>
      </c>
      <c r="B4" s="100" t="inlineStr">
        <is>
          <t>3. K-1 Basis Limitation</t>
        </is>
      </c>
      <c r="C4" s="100" t="inlineStr">
        <is>
          <t>Catawba River Outfitters - loss exceeds outside basis (guaranteed payments don't add basis)</t>
        </is>
      </c>
      <c r="D4" s="100" t="inlineStr">
        <is>
          <t>Same - ProConnect applies the partner basis limitation only when basis information is entered on the K-1 screen's basis worksheet.</t>
        </is>
      </c>
      <c r="E4" s="100" t="inlineStr">
        <is>
          <t>Partnership Information &gt; Schedule K-1 (1065) &gt; Basis Limitations / Partner's basis worksheet: beginning basis 30,000; enforce limitation (screen/field per current release - verify). Suspended 22,000 carries in the 704(d) carryover field.</t>
        </is>
      </c>
      <c r="F4" s="100" t="inlineStr"/>
      <c r="G4" s="100" t="inlineStr">
        <is>
          <t>None</t>
        </is>
      </c>
      <c r="H4" s="100" t="n">
        <v>30000</v>
      </c>
    </row>
    <row r="5">
      <c r="A5" s="100" t="inlineStr">
        <is>
          <t>EVG1023-SX2</t>
        </is>
      </c>
      <c r="B5" s="100" t="inlineStr">
        <is>
          <t>4. At-Risk (Form 6198)</t>
        </is>
      </c>
      <c r="C5" s="100" t="inlineStr">
        <is>
          <t>At-risk: nonrecourse seller financing on equipment is not qualified nonrecourse financing</t>
        </is>
      </c>
      <c r="D5" s="100" t="inlineStr">
        <is>
          <t>Same - Form 6198 is produced only when the at-risk box and at-risk amounts are entered.</t>
        </is>
      </c>
      <c r="E5" s="100" t="inlineStr">
        <is>
          <t>Schedule K-1 (1065) &gt; At-Risk (6198) section: some investment is not at risk = Yes; amount at risk 2,000 (screen/field per current release - verify).</t>
        </is>
      </c>
      <c r="F5" s="100" t="inlineStr"/>
      <c r="G5" s="100" t="inlineStr">
        <is>
          <t>None (Form 6198 attached)</t>
        </is>
      </c>
      <c r="H5" s="100" t="n">
        <v>-2000</v>
      </c>
    </row>
    <row r="6">
      <c r="A6" s="100" t="inlineStr">
        <is>
          <t>EVG1023-SX3</t>
        </is>
      </c>
      <c r="B6" s="100" t="inlineStr">
        <is>
          <t>9. AMT Adjustments (6251)</t>
        </is>
      </c>
      <c r="C6" s="100" t="inlineStr">
        <is>
          <t>K-1 box 17A +$6,000 on a loss that is limited by basis/at-risk - Form 6251 line 2n = 0</t>
        </is>
      </c>
      <c r="D6" s="100" t="inlineStr">
        <is>
          <t>Same risk - AMT K-1 items flow to 6251 unless AMT limitation amounts are entered.</t>
        </is>
      </c>
      <c r="E6" s="100" t="inlineStr">
        <is>
          <t>Schedule K-1 (1065) &gt; AMT / Basis and at-risk AMT amounts: enter AMT basis and AMT at-risk; confirm Form 6251 shows no net adjustment (screen/field per current release - verify).</t>
        </is>
      </c>
      <c r="F6" s="100" t="inlineStr"/>
      <c r="G6" s="100" t="inlineStr">
        <is>
          <t>None</t>
        </is>
      </c>
      <c r="H6" s="100" t="n">
        <v>0</v>
      </c>
    </row>
    <row r="7">
      <c r="A7" s="100" t="inlineStr">
        <is>
          <t>EVG1023-SX4</t>
        </is>
      </c>
      <c r="B7" s="100" t="inlineStr">
        <is>
          <t>11. Hot Assets &amp; Mixing Bowl</t>
        </is>
      </c>
      <c r="C7" s="100" t="inlineStr">
        <is>
          <t>IRC 704(c)(1)(B) mixing-bowl gain disclosed only in a K-1 footnote</t>
        </is>
      </c>
      <c r="D7" s="100" t="inlineStr">
        <is>
          <t>Same - ProConnect imports/keys K-1 boxes; a footnote amount must be entered manually.</t>
        </is>
      </c>
      <c r="E7" s="100" t="inlineStr">
        <is>
          <t>Schedule K-1 (1065) &gt; Lakewood &gt; Net long-term capital gain: 250,000 (adjusted from K-1 with explanation statement); basis worksheet other increase 250,000; ensure the gain is not treated as passive income (screen/field per current release - verify).</t>
        </is>
      </c>
      <c r="F7" s="100" t="inlineStr"/>
      <c r="G7" s="100" t="inlineStr">
        <is>
          <t>Explanation statement attached (PDF)</t>
        </is>
      </c>
      <c r="H7" s="100" t="n">
        <v>250000</v>
      </c>
    </row>
    <row r="8">
      <c r="A8" s="100" t="inlineStr">
        <is>
          <t>EVG1023-SX5</t>
        </is>
      </c>
      <c r="B8" s="100" t="inlineStr">
        <is>
          <t>11. Hot Assets &amp; Mixing Bowl</t>
        </is>
      </c>
      <c r="C8" s="100" t="inlineStr">
        <is>
          <t>IRC 752(b) deemed distribution - liability share 180,000 -&gt; 95,000</t>
        </is>
      </c>
      <c r="D8" s="100" t="inlineStr">
        <is>
          <t>Same - liability changes must be entered on the basis worksheet.</t>
        </is>
      </c>
      <c r="E8" s="100" t="inlineStr">
        <is>
          <t>Schedule K-1 (1065) &gt; Partner's basis worksheet: beginning/ending liabilities (screen/field per current release - verify).</t>
        </is>
      </c>
      <c r="F8" s="100" t="inlineStr"/>
      <c r="G8" s="100" t="inlineStr">
        <is>
          <t>None</t>
        </is>
      </c>
      <c r="H8" s="100" t="n">
        <v>-85000</v>
      </c>
    </row>
    <row r="9">
      <c r="A9" s="100" t="inlineStr">
        <is>
          <t>EVG1023-SX6</t>
        </is>
      </c>
      <c r="B9" s="100" t="inlineStr">
        <is>
          <t>5. Passive Activity (8582)</t>
        </is>
      </c>
      <c r="C9" s="100" t="inlineStr">
        <is>
          <t>New client - Form 8582 prior-year unallowed losses (Regular vs AMT); LP gets no $25,000</t>
        </is>
      </c>
      <c r="D9" s="100" t="inlineStr">
        <is>
          <t>ProConnect also has no prior-year data for a new client; prior-year unallowed losses must be entered per activity, with regular and AMT (operating) amounts entered separately; Form 8582 can be forced (1 = when applicable, 2 = force).</t>
        </is>
      </c>
      <c r="E9" s="100" t="inlineStr">
        <is>
          <t>Partnership K-1 (and Rental) &gt; Passive Losses tab / prior years' unallowed losses: Regular 31,000 and AMT 27,500 for Lakewood; no disposition for the duplex; Form 8582 'when applicable'.</t>
        </is>
      </c>
      <c r="F9" s="100" t="inlineStr">
        <is>
          <t>Intuit help: 'How to generate Form 8582 ... in ProConnect Tax'; Intuit Accountants Community thread on prior years' unallowed losses</t>
        </is>
      </c>
      <c r="G9" s="100" t="inlineStr">
        <is>
          <t>None</t>
        </is>
      </c>
      <c r="H9" s="100" t="n">
        <v>51253</v>
      </c>
    </row>
    <row r="10">
      <c r="A10" s="100" t="inlineStr">
        <is>
          <t>EVG1023-SX7</t>
        </is>
      </c>
      <c r="B10" s="100" t="inlineStr">
        <is>
          <t>6. Depreciation Overrides</t>
        </is>
      </c>
      <c r="C10" s="100" t="inlineStr">
        <is>
          <t>NC decouples from bonus depreciation - 85% addback on Carla's $28,000</t>
        </is>
      </c>
      <c r="D10" s="100" t="inlineStr">
        <is>
          <t>Same - the NC addback is computed only from asset entries with state depreciation; summary entries need a manual NC adjustment.</t>
        </is>
      </c>
      <c r="E10" s="100" t="inlineStr">
        <is>
          <t>Depreciation (4562) asset entries with state (NC) bonus treatment, or North Carolina &gt; Additions &gt; bonus depreciation 23,800 (screen/field per current release - verify).</t>
        </is>
      </c>
      <c r="F10" s="100" t="inlineStr"/>
      <c r="G10" s="100" t="inlineStr">
        <is>
          <t>None</t>
        </is>
      </c>
      <c r="H10" s="100" t="n">
        <v>23800</v>
      </c>
    </row>
    <row r="11">
      <c r="A11" s="100" t="inlineStr">
        <is>
          <t>EVG1023-SX8</t>
        </is>
      </c>
      <c r="B11" s="100" t="inlineStr">
        <is>
          <t>21. Involuntary Conv. 1033</t>
        </is>
      </c>
      <c r="C11" s="100" t="inlineStr">
        <is>
          <t>Rental duplex destroyed by fire - IRC 1033 election and replacement deadline</t>
        </is>
      </c>
      <c r="D11" s="100" t="inlineStr">
        <is>
          <t>Same - the postponement must be elected on the casualty/disposition input; no deadline tracking.</t>
        </is>
      </c>
      <c r="E11" s="100" t="inlineStr">
        <is>
          <t>Dispositions &gt; Casualties and Thefts (4684): business property, election to postpone gain (1033), amount postponed 179,758; attach the 1033 statement (screen/field per current release - verify).</t>
        </is>
      </c>
      <c r="F11" s="100" t="inlineStr"/>
      <c r="G11" s="100" t="inlineStr">
        <is>
          <t>Election statement attached (PDF)</t>
        </is>
      </c>
      <c r="H11" s="100" t="n">
        <v>179758</v>
      </c>
    </row>
    <row r="12">
      <c r="A12" s="100" t="inlineStr">
        <is>
          <t>EVG1023-SX9</t>
        </is>
      </c>
      <c r="B12" s="100" t="inlineStr">
        <is>
          <t>ProConnect-only</t>
        </is>
      </c>
      <c r="C12" s="100" t="inlineStr">
        <is>
          <t>Form 8865 (Baja Coastal - Categories 3 and 4) is not available in ProConnect</t>
        </is>
      </c>
      <c r="D12" s="100" t="inlineStr">
        <is>
          <t>Form 8865 is not available in ProConnect Tax (or Lacerte). The software cannot generate it or include it in the 1040 e-file.</t>
        </is>
      </c>
      <c r="E12" s="100" t="inlineStr">
        <is>
          <t>Prepare Form 8865 outside ProConnect (IRS fillable PDF or software that supports it). Firm policy: when the 1040 is prepared in ProConnect, paper-file the complete return with Form 8865 attached (an e-filed return cannot carry the form). Report the Baja loss on Sch E/8582 as a passive partnership activity and list the interest on Form 8938 Part IV as reported on Form 8865.</t>
        </is>
      </c>
      <c r="F12" s="100" t="inlineStr">
        <is>
          <t>Intuit Accountants Community / product discussions: Form 8865 is not available in Lacerte or ProConnect Tax</t>
        </is>
      </c>
      <c r="G12" s="100" t="inlineStr">
        <is>
          <t>ProConnect: paper filing required (firm decision); Axcess: e-file</t>
        </is>
      </c>
      <c r="H12" s="100" t="n">
        <v>0</v>
      </c>
    </row>
    <row r="13">
      <c r="A13" s="100" t="inlineStr">
        <is>
          <t>EVG1023-SX10</t>
        </is>
      </c>
      <c r="B13" s="100" t="inlineStr">
        <is>
          <t>2. Diagnostics Log</t>
        </is>
      </c>
      <c r="C13" s="100" t="inlineStr">
        <is>
          <t>Form 8938 - foreign partnership interest reported on Form 8865 still counts (excepted asset)</t>
        </is>
      </c>
      <c r="D13" s="100" t="inlineStr">
        <is>
          <t>ProConnect supports Form 8938 entry, but with no 8865 in the file nothing prompts it.</t>
        </is>
      </c>
      <c r="E13" s="100" t="inlineStr">
        <is>
          <t>Foreign Reporting &gt; Form 8938: enter the excepted-asset information (screen/field per current release - verify).</t>
        </is>
      </c>
      <c r="F13" s="100" t="inlineStr"/>
      <c r="G13" s="100" t="inlineStr">
        <is>
          <t>None (Axcess); paper with the return if prepared in ProConnect</t>
        </is>
      </c>
      <c r="H13" s="100" t="n">
        <v>180000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EVG1023</t>
        </is>
      </c>
      <c r="B14" s="57" t="n">
        <v>2025</v>
      </c>
      <c r="C14" s="57" t="inlineStr">
        <is>
          <t>none fired</t>
        </is>
      </c>
      <c r="D14" s="57" t="inlineStr">
        <is>
          <t>[No diagnostic - logged by preparer] Catawba River Outfitters - loss exceeds outside basis (guaranteed payments don't add basis)</t>
        </is>
      </c>
      <c r="E14" s="57" t="inlineStr">
        <is>
          <t>Basis/At-Risk/Passive</t>
        </is>
      </c>
      <c r="F14" s="57" t="inlineStr">
        <is>
          <t>Yes</t>
        </is>
      </c>
      <c r="G14" s="57" t="inlineStr">
        <is>
          <t>Income/Deductions &gt; Partnership Passthrough &gt; Catawba &gt; Section 6 Basis Limitation: check 'apply the limitation'; beginning basis $30,000 (capital 2,000 + nonrecourse share 28,000); no increase for guaranteed payments. Allowed by basis $30,000; $22,000 suspended (704(d) carryover). Verify field path in current release.</t>
        </is>
      </c>
      <c r="H14" s="3" t="n">
        <v>30000</v>
      </c>
      <c r="I14" s="57" t="inlineStr">
        <is>
          <t>Signed Off</t>
        </is>
      </c>
      <c r="J14" s="57" t="inlineStr">
        <is>
          <t>T. Alvarez (senior staff)</t>
        </is>
      </c>
      <c r="K14" s="57" t="inlineStr">
        <is>
          <t>M. Osei (manager)</t>
        </is>
      </c>
      <c r="L14" s="57" t="inlineStr">
        <is>
          <t>EVG1023-SX1 | Workbook tab 3. K-1 Basis Limitation | Tab 3 also documents Lakewood: 296,000 + 250,000 (704(c)) - 85,000 (752(b)) = 461,000 before the 14,000 loss.</t>
        </is>
      </c>
    </row>
    <row r="15">
      <c r="A15" s="70" t="inlineStr">
        <is>
          <t>EVG1023</t>
        </is>
      </c>
      <c r="B15" s="70" t="n">
        <v>2025</v>
      </c>
      <c r="C15" s="70" t="inlineStr">
        <is>
          <t>none fired</t>
        </is>
      </c>
      <c r="D15" s="70" t="inlineStr">
        <is>
          <t>[No diagnostic - logged by preparer] At-risk: nonrecourse seller financing on equipment is not qualified nonrecourse financing</t>
        </is>
      </c>
      <c r="E15" s="70" t="inlineStr">
        <is>
          <t>Basis/At-Risk/Passive</t>
        </is>
      </c>
      <c r="F15" s="70" t="inlineStr">
        <is>
          <t>Yes</t>
        </is>
      </c>
      <c r="G15" s="70" t="inlineStr">
        <is>
          <t>Partnership Passthrough &gt; Catawba &gt; Section 6 / At-Risk: check 'subject this entity to the at-risk limitation'; amount at risk $2,000 (basis 30,000 less nonrecourse non-QNF 28,000). Form 6198 allows $2,000; $28,000 suspended (Form 6198 carryover). Verify field path in current release.</t>
        </is>
      </c>
      <c r="H15" s="5" t="n">
        <v>-2000</v>
      </c>
      <c r="I15" s="70" t="inlineStr">
        <is>
          <t>Signed Off</t>
        </is>
      </c>
      <c r="J15" s="70" t="inlineStr">
        <is>
          <t>T. Alvarez (senior staff)</t>
        </is>
      </c>
      <c r="K15" s="70" t="inlineStr">
        <is>
          <t>M. Osei (manager)</t>
        </is>
      </c>
      <c r="L15" s="70" t="inlineStr">
        <is>
          <t>EVG1023-SX2 | Workbook tab 4. At-Risk (Form 6198) | IRC 465(b)(6) QNF is limited to the activity of holding real property; this is equipment. Tax effect of skipping tabs 3-4: $11,804.</t>
        </is>
      </c>
    </row>
    <row r="16">
      <c r="A16" s="57" t="inlineStr">
        <is>
          <t>EVG1023</t>
        </is>
      </c>
      <c r="B16" s="57" t="n">
        <v>2025</v>
      </c>
      <c r="C16" s="57" t="inlineStr">
        <is>
          <t>none fired</t>
        </is>
      </c>
      <c r="D16" s="57" t="inlineStr">
        <is>
          <t>[No diagnostic - logged by preparer] K-1 box 17A +$6,000 on a loss that is limited by basis/at-risk - Form 6251 line 2n = 0</t>
        </is>
      </c>
      <c r="E16" s="57" t="inlineStr">
        <is>
          <t>AMT</t>
        </is>
      </c>
      <c r="F16" s="57" t="inlineStr">
        <is>
          <t>Yes</t>
        </is>
      </c>
      <c r="G16" s="57" t="inlineStr">
        <is>
          <t>AMT input for the Catawba K-1: AMT basis 30,000 and AMT at-risk 2,000 (AMT columns of the basis/at-risk worksheet); if the line still shows +6,000, use the 'Loss limits (Force)' line 2n override so the net AMT adjustment is $0 (regular allowed 2,000 = AMT allowed 2,000). Lakewood's +1,200 also nets to $0 (loss suspended). Verify field names.</t>
        </is>
      </c>
      <c r="H16" s="3" t="n">
        <v>0</v>
      </c>
      <c r="I16" s="57" t="inlineStr">
        <is>
          <t>Signed Off</t>
        </is>
      </c>
      <c r="J16" s="57" t="inlineStr">
        <is>
          <t>T. Alvarez (senior staff)</t>
        </is>
      </c>
      <c r="K16" s="57" t="inlineStr">
        <is>
          <t>M. Osei (manager)</t>
        </is>
      </c>
      <c r="L16" s="57" t="inlineStr">
        <is>
          <t>EVG1023-SX3 | Workbook tab 9. AMT Adjustments (6251) | No AMT in 2025 either way, but the AMT suspended amounts carried forward depend on it.</t>
        </is>
      </c>
    </row>
    <row r="17">
      <c r="A17" s="70" t="inlineStr">
        <is>
          <t>EVG1023</t>
        </is>
      </c>
      <c r="B17" s="70" t="n">
        <v>2025</v>
      </c>
      <c r="C17" s="70" t="inlineStr">
        <is>
          <t>none fired</t>
        </is>
      </c>
      <c r="D17" s="70" t="inlineStr">
        <is>
          <t>[No diagnostic - logged by preparer] IRC 704(c)(1)(B) mixing-bowl gain disclosed only in a K-1 footnote</t>
        </is>
      </c>
      <c r="E17" s="70" t="inlineStr">
        <is>
          <t>Basis/At-Risk/Passive</t>
        </is>
      </c>
      <c r="F17" s="70" t="inlineStr">
        <is>
          <t>Yes</t>
        </is>
      </c>
      <c r="G17" s="70" t="inlineStr">
        <is>
          <t>Partnership Passthrough &gt; Lakewood: add $250,000 net long-term capital gain (K-1 Section 3 direct entry / box 9a override) with a statement explaining IRC 704(c)(1)(B); Section 6 Basis: other increase +250,000. Gain is NII and portfolio (not passive) income. Verify field path in current release.</t>
        </is>
      </c>
      <c r="H17" s="5" t="n">
        <v>250000</v>
      </c>
      <c r="I17" s="70" t="inlineStr">
        <is>
          <t>Signed Off</t>
        </is>
      </c>
      <c r="J17" s="70" t="inlineStr">
        <is>
          <t>T. Alvarez (senior staff)</t>
        </is>
      </c>
      <c r="K17" s="70" t="inlineStr">
        <is>
          <t>M. Osei (manager)</t>
        </is>
      </c>
      <c r="L17" s="70" t="inlineStr">
        <is>
          <t>EVG1023-SX4 | Workbook tab 11. Hot Assets &amp; Mixing Bowl | Contributed 03/22/2021 (FMV 400,000, basis 150,000); distributed to another partner 08/14/2025 (&lt; 7 years). Tax effect $44,094.</t>
        </is>
      </c>
    </row>
    <row r="18">
      <c r="A18" s="57" t="inlineStr">
        <is>
          <t>EVG1023</t>
        </is>
      </c>
      <c r="B18" s="57" t="n">
        <v>2025</v>
      </c>
      <c r="C18" s="57" t="inlineStr">
        <is>
          <t>none fired</t>
        </is>
      </c>
      <c r="D18" s="57" t="inlineStr">
        <is>
          <t>[No diagnostic - logged by preparer] IRC 752(b) deemed distribution - liability share 180,000 -&gt; 95,000</t>
        </is>
      </c>
      <c r="E18" s="57" t="inlineStr">
        <is>
          <t>Basis/At-Risk/Passive</t>
        </is>
      </c>
      <c r="F18" s="57" t="inlineStr">
        <is>
          <t>Yes</t>
        </is>
      </c>
      <c r="G18" s="57" t="inlineStr">
        <is>
          <t>Section 6 Basis: beginning share of liabilities 180,000, ending 95,000 (or 'other decrease' 85,000 as a deemed cash distribution). Basis before loss 461,000; ending 447,000. No IRC 731 gain.</t>
        </is>
      </c>
      <c r="H18" s="3" t="n">
        <v>-85000</v>
      </c>
      <c r="I18" s="57" t="inlineStr">
        <is>
          <t>Signed Off</t>
        </is>
      </c>
      <c r="J18" s="57" t="inlineStr">
        <is>
          <t>T. Alvarez (senior staff)</t>
        </is>
      </c>
      <c r="K18" s="57" t="inlineStr">
        <is>
          <t>M. Osei (manager)</t>
        </is>
      </c>
      <c r="L18" s="57" t="inlineStr">
        <is>
          <t>EVG1023-SX5 | Workbook tab 11. Hot Assets &amp; Mixing Bowl</t>
        </is>
      </c>
    </row>
    <row r="19">
      <c r="A19" s="70" t="inlineStr">
        <is>
          <t>EVG1023</t>
        </is>
      </c>
      <c r="B19" s="70" t="n">
        <v>2025</v>
      </c>
      <c r="C19" s="70" t="inlineStr">
        <is>
          <t>none fired</t>
        </is>
      </c>
      <c r="D19" s="70" t="inlineStr">
        <is>
          <t>[No diagnostic - logged by preparer] New client - Form 8582 prior-year unallowed losses (Regular vs AMT); LP gets no $25,000</t>
        </is>
      </c>
      <c r="E19" s="70" t="inlineStr">
        <is>
          <t>Basis/At-Risk/Passive</t>
        </is>
      </c>
      <c r="F19" s="70" t="inlineStr">
        <is>
          <t>Yes</t>
        </is>
      </c>
      <c r="G19" s="70" t="inlineStr">
        <is>
          <t>Partnership Passthrough &gt; Lakewood &gt; Passive Activity carryovers: prior-year unallowed ordinary loss Regular 31,000, AMT 27,500; limited partner. Duplex rental: active participation, do NOT check disposed. Result: all passive losses suspended - Regular 51,253 / AMT 46,553 carried to 2026.</t>
        </is>
      </c>
      <c r="H19" s="5" t="n">
        <v>51253</v>
      </c>
      <c r="I19" s="70" t="inlineStr">
        <is>
          <t>Signed Off</t>
        </is>
      </c>
      <c r="J19" s="70" t="inlineStr">
        <is>
          <t>T. Alvarez (senior staff)</t>
        </is>
      </c>
      <c r="K19" s="70" t="inlineStr">
        <is>
          <t>M. Osei (manager)</t>
        </is>
      </c>
      <c r="L19" s="70" t="inlineStr">
        <is>
          <t>EVG1023-SX6 | Workbook tab 5. Passive Activity (8582) | Tab 5 MAGI 423,527 -&gt; special allowance $0 (corrected formulas).</t>
        </is>
      </c>
    </row>
    <row r="20">
      <c r="A20" s="57" t="inlineStr">
        <is>
          <t>EVG1023</t>
        </is>
      </c>
      <c r="B20" s="57" t="n">
        <v>2025</v>
      </c>
      <c r="C20" s="57" t="inlineStr">
        <is>
          <t>none fired</t>
        </is>
      </c>
      <c r="D20" s="57" t="inlineStr">
        <is>
          <t>[No diagnostic - logged by preparer] NC decouples from bonus depreciation - 85% addback on Carla's $28,000</t>
        </is>
      </c>
      <c r="E20" s="57" t="inlineStr">
        <is>
          <t>Depreciation</t>
        </is>
      </c>
      <c r="F20" s="57" t="inlineStr">
        <is>
          <t>Yes</t>
        </is>
      </c>
      <c r="G20" s="57" t="inlineStr">
        <is>
          <t>Enter the three assets in the Depreciation module with NC treatment, or key the NC addition directly: NC &gt; Additions &gt; Bonus depreciation $23,800 (85% of 28,000); set up the 20% ($4,760) deduction for 2026-2030. Verify field path in current release; verify NC conformity for OBBBA 100% bonus.</t>
        </is>
      </c>
      <c r="H20" s="3" t="n">
        <v>23800</v>
      </c>
      <c r="I20" s="57" t="inlineStr">
        <is>
          <t>Signed Off</t>
        </is>
      </c>
      <c r="J20" s="57" t="inlineStr">
        <is>
          <t>T. Alvarez (senior staff)</t>
        </is>
      </c>
      <c r="K20" s="57" t="inlineStr">
        <is>
          <t>M. Osei (manager)</t>
        </is>
      </c>
      <c r="L20" s="57" t="inlineStr">
        <is>
          <t>EVG1023-SX7 | Workbook tab 6. Depreciation Overrides | Federal: 100% bonus (assets acquired 03-06/2025, after 01/19/2025) - bookkeeper's 40% replaced.</t>
        </is>
      </c>
    </row>
    <row r="21">
      <c r="A21" s="70" t="inlineStr">
        <is>
          <t>EVG1023</t>
        </is>
      </c>
      <c r="B21" s="70" t="n">
        <v>2025</v>
      </c>
      <c r="C21" s="70" t="inlineStr">
        <is>
          <t>none fired</t>
        </is>
      </c>
      <c r="D21" s="70" t="inlineStr">
        <is>
          <t>[No diagnostic - logged by preparer] Rental duplex destroyed by fire - IRC 1033 election and replacement deadline</t>
        </is>
      </c>
      <c r="E21" s="70" t="inlineStr">
        <is>
          <t>Other</t>
        </is>
      </c>
      <c r="F21" s="70" t="inlineStr">
        <is>
          <t>Yes</t>
        </is>
      </c>
      <c r="G21" s="70" t="inlineStr">
        <is>
          <t>Gains and Losses &gt; Casualties and Thefts (Form 4684 Section B): enter the conversion; election to postpone gain under IRC 1033 / gain postponed 179,758; attach election statement (property, date, proceeds, basis, intent to replace, deadline 12/31/2027). Tab 21 (corrected formula) tracks the deadline and replacement cost. Verify field path in current release.</t>
        </is>
      </c>
      <c r="H21" s="5" t="n">
        <v>179758</v>
      </c>
      <c r="I21" s="70" t="inlineStr">
        <is>
          <t>Signed Off</t>
        </is>
      </c>
      <c r="J21" s="70" t="inlineStr">
        <is>
          <t>T. Alvarez (senior staff)</t>
        </is>
      </c>
      <c r="K21" s="70" t="inlineStr">
        <is>
          <t>M. Osei (manager)</t>
        </is>
      </c>
      <c r="L21" s="70" t="inlineStr">
        <is>
          <t>EVG1023-SX8 | Workbook tab 21. Involuntary Conv. 1033 | Replacement period = 2 years after the close of the first tax year in which any part of the gain is realized (2025) -&gt; 12/31/2027; 3 years applies only to condemned real property.</t>
        </is>
      </c>
    </row>
    <row r="22">
      <c r="A22" s="57" t="inlineStr">
        <is>
          <t>EVG1023</t>
        </is>
      </c>
      <c r="B22" s="57" t="n">
        <v>2025</v>
      </c>
      <c r="C22" s="57" t="inlineStr">
        <is>
          <t>none fired</t>
        </is>
      </c>
      <c r="D22" s="57" t="inlineStr">
        <is>
          <t>[No diagnostic - logged by preparer] Form 8938 - foreign partnership interest reported on Form 8865 still counts (excepted asset)</t>
        </is>
      </c>
      <c r="E22" s="57" t="inlineStr">
        <is>
          <t>Other</t>
        </is>
      </c>
      <c r="F22" s="57" t="inlineStr">
        <is>
          <t>No</t>
        </is>
      </c>
      <c r="G22" s="57" t="inlineStr">
        <is>
          <t>Foreign &gt; Form 8938: MFJ living in the US; Part IV - number of Forms 8865 = 1 (asset counted toward the threshold: max value $180,000, year-end $174,000 -&gt; filing required). No FBAR. Verify field path in current release.</t>
        </is>
      </c>
      <c r="H22" s="3" t="n">
        <v>180000</v>
      </c>
      <c r="I22" s="57" t="inlineStr">
        <is>
          <t>Signed Off</t>
        </is>
      </c>
      <c r="J22" s="57" t="inlineStr">
        <is>
          <t>T. Alvarez (senior staff)</t>
        </is>
      </c>
      <c r="K22" s="57" t="inlineStr">
        <is>
          <t>M. Osei (manager)</t>
        </is>
      </c>
      <c r="L22" s="57" t="inlineStr">
        <is>
          <t>EVG1023-SX10 | Workbook tab 2. Diagnostics Log</t>
        </is>
      </c>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inlineStr">
        <is>
          <t>Catawba River Outfitters LLC (40% member-manager; material participation)</t>
        </is>
      </c>
      <c r="B13" s="7" t="n">
        <v>30000</v>
      </c>
      <c r="C13" s="7" t="n">
        <v>0</v>
      </c>
      <c r="D13" s="7" t="n">
        <v>0</v>
      </c>
      <c r="E13" s="7">
        <f>B13+C13-D13</f>
        <v/>
      </c>
      <c r="F13" s="6" t="inlineStr">
        <is>
          <t>Begin = capital 2,000 + nonrecourse seller-note share 28,000. Guaranteed payments 95,000 NOT a basis increase.</t>
        </is>
      </c>
    </row>
    <row r="14">
      <c r="A14" s="8" t="inlineStr">
        <is>
          <t>Lakewood Partners LP (10% limited partner)</t>
        </is>
      </c>
      <c r="B14" s="9" t="n">
        <v>296000</v>
      </c>
      <c r="C14" s="9" t="n">
        <v>250000</v>
      </c>
      <c r="D14" s="9" t="n">
        <v>85000</v>
      </c>
      <c r="E14" s="9">
        <f>B14+C14-D14</f>
        <v/>
      </c>
      <c r="F14" s="8" t="inlineStr">
        <is>
          <t>C = IRC 704(c)(1)(B) gain (footnote 3); D = IRC 752(b) deemed distribution (liabilities 180,000 -&gt; 95,000).</t>
        </is>
      </c>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v>52000</v>
      </c>
      <c r="D24" s="3">
        <f>IF(C24=0,0,-MIN(C24,B24))</f>
        <v/>
      </c>
      <c r="E24" s="3">
        <f>IF(C24&gt;B24,C24-B24,0)</f>
        <v/>
      </c>
      <c r="F24" s="57" t="inlineStr">
        <is>
          <t>Yes - basis allowed 30,000; 22,000 704(d) carryover; then tab 4 at-risk</t>
        </is>
      </c>
    </row>
    <row r="25">
      <c r="A25" s="70">
        <f>A14</f>
        <v/>
      </c>
      <c r="B25" s="5">
        <f>E14</f>
        <v/>
      </c>
      <c r="C25" s="5" t="n">
        <v>14000</v>
      </c>
      <c r="D25" s="5">
        <f>IF(C25=0,0,-MIN(C25,B25))</f>
        <v/>
      </c>
      <c r="E25" s="5">
        <f>IF(C25&gt;B25,C25-B25,0)</f>
        <v/>
      </c>
      <c r="F25" s="70" t="inlineStr">
        <is>
          <t>Basis OK - loss passes; then tab 5 (passive - suspended)</t>
        </is>
      </c>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inlineStr">
        <is>
          <t>Catawba River Outfitters LLC - equipment rental</t>
        </is>
      </c>
      <c r="B13" s="3" t="n">
        <v>30000</v>
      </c>
      <c r="C13" s="3" t="n">
        <v>2000</v>
      </c>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inlineStr">
        <is>
          <t>Lakewood Partners LP (LP) - 2025 loss 14,000 + PY unallowed 31,000</t>
        </is>
      </c>
      <c r="B13" s="57" t="inlineStr">
        <is>
          <t>N</t>
        </is>
      </c>
      <c r="C13" s="3" t="n">
        <v>45000</v>
      </c>
      <c r="D13" s="3" t="n">
        <v>0</v>
      </c>
      <c r="E13" s="3">
        <f>C13-D13</f>
        <v/>
      </c>
      <c r="F13" s="57" t="inlineStr">
        <is>
          <t>Limited partner - no $25k allowance. AMT: 12,800 + PY 27,500 = 40,300. 704(c) gain is portfolio, not passive income.</t>
        </is>
      </c>
    </row>
    <row r="14">
      <c r="A14" s="70" t="inlineStr">
        <is>
          <t>Baja Coastal Ventures (foreign partnership, 15%)</t>
        </is>
      </c>
      <c r="B14" s="70" t="inlineStr">
        <is>
          <t>N</t>
        </is>
      </c>
      <c r="C14" s="5" t="n">
        <v>6000</v>
      </c>
      <c r="D14" s="5" t="n">
        <v>0</v>
      </c>
      <c r="E14" s="5">
        <f>C14-D14</f>
        <v/>
      </c>
      <c r="F14" s="70" t="inlineStr">
        <is>
          <t>Passive; Form 8865 activity</t>
        </is>
      </c>
    </row>
    <row r="15">
      <c r="A15" s="57" t="inlineStr">
        <is>
          <t>Duplex 1407-1409 Thomas Ave - January 2025</t>
        </is>
      </c>
      <c r="B15" s="57" t="inlineStr">
        <is>
          <t>Y</t>
        </is>
      </c>
      <c r="C15" s="3" t="n">
        <v>252.79</v>
      </c>
      <c r="D15" s="3" t="n">
        <v>0</v>
      </c>
      <c r="E15" s="3">
        <f>C15-D15</f>
        <v/>
      </c>
      <c r="F15" s="57" t="inlineStr">
        <is>
          <t>Active participation but MAGI &gt; 150k -&gt; 0 allowance; fire + 1033 deferral is not a fully taxable disposition (469(g))</t>
        </is>
      </c>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v>423527</v>
      </c>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inlineStr">
        <is>
          <t>Carla Sch C 2025 additions - furniture/fixtures 19,400 (7-yr) + workstation/plotter 8,600 (5-yr)</t>
        </is>
      </c>
      <c r="B13" s="3" t="n">
        <v>28000</v>
      </c>
      <c r="C13" s="3" t="n">
        <v>4200</v>
      </c>
      <c r="D13" s="3">
        <f>C13-B13</f>
        <v/>
      </c>
      <c r="E13" s="3" t="n">
        <v>28000</v>
      </c>
      <c r="F13" s="3">
        <f>E13-B13</f>
        <v/>
      </c>
      <c r="G13" s="57" t="inlineStr">
        <is>
          <t>100% bonus federal (acquired after 01/19/2025); NC adds back 85% = 23,800, deducts 4,760/yr 2026-2030; AMT allows bonus (no AMT difference). Verify NC OBBBA conformity.</t>
        </is>
      </c>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inlineStr">
        <is>
          <t>Catawba River Outfitters LLC (K-1 box 17A +6,000)</t>
        </is>
      </c>
      <c r="B13" s="3" t="n">
        <v>-2000</v>
      </c>
      <c r="C13" s="3" t="n">
        <v>-2000</v>
      </c>
      <c r="D13" s="3">
        <f>C13-B13</f>
        <v/>
      </c>
      <c r="E13" s="3" t="n"/>
      <c r="F13" s="57" t="inlineStr">
        <is>
          <t>AMT loss 46,000 limited by same basis 30,000 / at-risk 2,000 -&gt; 2,000; do NOT put 6,000 on line 2l</t>
        </is>
      </c>
    </row>
    <row r="14">
      <c r="A14" s="70" t="inlineStr">
        <is>
          <t>Lakewood Partners LP (K-1 box 17A +1,200)</t>
        </is>
      </c>
      <c r="B14" s="5" t="n">
        <v>0</v>
      </c>
      <c r="C14" s="5" t="n">
        <v>0</v>
      </c>
      <c r="D14" s="5">
        <f>C14-B14</f>
        <v/>
      </c>
      <c r="E14" s="5" t="n"/>
      <c r="F14" s="70" t="inlineStr">
        <is>
          <t>Loss suspended (passive) for both systems; AMT suspended carryover tracked separately</t>
        </is>
      </c>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inlineStr">
        <is>
          <t>Raymond - Lakewood Partners LP (Mooresville Road parcel)</t>
        </is>
      </c>
      <c r="B16" s="3" t="inlineStr">
        <is>
          <t>704c-737</t>
        </is>
      </c>
      <c r="C16" s="3" t="n">
        <v>250000</v>
      </c>
      <c r="D16" s="3" t="n">
        <v>465000</v>
      </c>
      <c r="E16" s="3" t="n"/>
      <c r="F16" s="3" t="n"/>
      <c r="G16" s="3" t="n">
        <v>250000</v>
      </c>
      <c r="H16" s="3" t="inlineStr">
        <is>
          <t>C = built-in gain at contribution 03/22/2021 (FMV 400,000 - basis 150,000); D = FMV at distribution 08/14/2025 to Harbor Pointe Holdings LLC (&lt; 7 yrs). Gain = min(250,000, 465,000 - 150,000). LTCG (investment land) -&gt; Sch D line 12; basis +250,000. K-1 box 9a omits it (footnote 3).</t>
        </is>
      </c>
    </row>
    <row r="17">
      <c r="A17" s="70" t="inlineStr">
        <is>
          <t>Raymond - Lakewood Partners LP</t>
        </is>
      </c>
      <c r="B17" s="5" t="inlineStr">
        <is>
          <t>752b</t>
        </is>
      </c>
      <c r="C17" s="5" t="n">
        <v>546000</v>
      </c>
      <c r="D17" s="5" t="n">
        <v>461000</v>
      </c>
      <c r="E17" s="5" t="n">
        <v>180000</v>
      </c>
      <c r="F17" s="5" t="n">
        <v>95000</v>
      </c>
      <c r="G17" s="5" t="n">
        <v>0</v>
      </c>
      <c r="H17" s="5" t="inlineStr">
        <is>
          <t>Deemed distribution 85,000 &lt; basis 546,000 -&gt; no IRC 731 gain</t>
        </is>
      </c>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inlineStr">
        <is>
          <t>Duplex building - 1407-1409 Thomas Ave, Charlotte (rental)</t>
        </is>
      </c>
      <c r="B12" s="103" t="n">
        <v>45681</v>
      </c>
      <c r="C12" s="3" t="n">
        <v>410000</v>
      </c>
      <c r="D12" s="3" t="n">
        <v>230242</v>
      </c>
      <c r="E12" s="3" t="n">
        <v>2</v>
      </c>
      <c r="F12" s="3" t="n"/>
      <c r="G12" s="57" t="inlineStr">
        <is>
          <t>Fire 01/24/2025; insurance paid 05/16/2025 (gain realized 2025). IRC 1033 election - intend to rebuild (~$465k quote). Accum. depreciation 59,758 (would be unrecaptured 1250). Replacement cost not yet incurred.</t>
        </is>
      </c>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2026-10-12T16:23:00Z</dcterms:modified>
  <cp:lastModifiedBy>Shane Kennedy</cp:lastModifiedBy>
  <cp:revision>0</cp:revision>
</cp:coreProperties>
</file>