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EVG1011 - Thomas Nguyen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EVG1011-SX1</t>
        </is>
      </c>
      <c r="B4" s="100" t="inlineStr">
        <is>
          <t>19. Crypto Income &amp; Basis</t>
        </is>
      </c>
      <c r="C4" s="100" t="inlineStr">
        <is>
          <t>Coinbase 1099-DA and the CoinLedger Form 8949 both loaded - proceeds counted twice</t>
        </is>
      </c>
      <c r="D4" s="100" t="inlineStr">
        <is>
          <t>Same - ProConnect computes Schedule D from whatever 8949 rows are entered or imported; a 1099-DA entered manually or imported alongside the CoinLedger detail is a second set of sales with $0 basis.</t>
        </is>
      </c>
      <c r="E4" s="100" t="inlineStr">
        <is>
          <t>Dispositions (Schedule D/4797/etc.): import or key the CoinLedger detail only, with the 8949 box set per row (H/K, I/L, A/D). Alternative for many lots: enter summary totals by 8949 box and attach the CoinLedger detail as a PDF (General &gt; e-file PDF/Miscellaneous &gt; Attach PDF, linked to Sch D/Form 8949 'Form 8949 Exception Reporting Statement') so Form 8453 is not required - diagnostic ref 10322 clears once the PDF is attached.</t>
        </is>
      </c>
      <c r="F4" s="100" t="inlineStr">
        <is>
          <t>Intuit help: 'Attaching a summary statement to Schedule D/Form 8949 in ProConnect Tax and resolving Diagnostic ref. 10322'</t>
        </is>
      </c>
      <c r="G4" s="100" t="inlineStr">
        <is>
          <t>None if detail is entered; summary method requires the PDF attachment (or Form 8453)</t>
        </is>
      </c>
      <c r="H4" s="100" t="n">
        <v>370811</v>
      </c>
    </row>
    <row r="5">
      <c r="A5" s="100" t="inlineStr">
        <is>
          <t>EVG1011-SX2</t>
        </is>
      </c>
      <c r="B5" s="100" t="inlineStr">
        <is>
          <t>19. Crypto Income &amp; Basis</t>
        </is>
      </c>
      <c r="C5" s="100" t="inlineStr">
        <is>
          <t>Kraken 1099-MISC staking is already inside the CoinLedger income total</t>
        </is>
      </c>
      <c r="D5" s="100" t="inlineStr">
        <is>
          <t>Same - a 1099-MISC box 3 entry and a separate other-income entry both flow to Schedule 1.</t>
        </is>
      </c>
      <c r="E5" s="100" t="inlineStr">
        <is>
          <t>Income &gt; Other income: one Schedule 1 line 8v entry $2,100 (digital assets received as ordinary income); do not also enter the Kraken 1099-MISC box 3 as other income (screen/field per current release - verify).</t>
        </is>
      </c>
      <c r="F5" s="100" t="inlineStr"/>
      <c r="G5" s="100" t="inlineStr">
        <is>
          <t>None</t>
        </is>
      </c>
      <c r="H5" s="100" t="n">
        <v>2100</v>
      </c>
    </row>
    <row r="6">
      <c r="A6" s="100" t="inlineStr">
        <is>
          <t>EVG1011-SX3</t>
        </is>
      </c>
      <c r="B6" s="100" t="inlineStr">
        <is>
          <t>19. Crypto Income &amp; Basis</t>
        </is>
      </c>
      <c r="C6" s="100" t="inlineStr">
        <is>
          <t>NFT digital art imported without the collectible code - 28% gain taxed at 15%</t>
        </is>
      </c>
      <c r="D6" s="100" t="inlineStr">
        <is>
          <t>Same - collectible treatment requires the collectible indicator / code C on the disposition.</t>
        </is>
      </c>
      <c r="E6" s="100" t="inlineStr">
        <is>
          <t>Dispositions: on the NFT row set the collectible indicator (28% rate gain) / 8949 code C; confirm Schedule D line 18 = 8,976 (field per current release - verify).</t>
        </is>
      </c>
      <c r="F6" s="100" t="inlineStr"/>
      <c r="G6" s="100" t="inlineStr">
        <is>
          <t>None</t>
        </is>
      </c>
      <c r="H6" s="100" t="n">
        <v>8976</v>
      </c>
    </row>
    <row r="7">
      <c r="A7" s="100" t="inlineStr">
        <is>
          <t>EVG1011-SX4</t>
        </is>
      </c>
      <c r="B7" s="100" t="inlineStr">
        <is>
          <t>2. Diagnostics Log</t>
        </is>
      </c>
      <c r="C7" s="100" t="inlineStr">
        <is>
          <t>Stale IP PIN from the January 2025 CP01A</t>
        </is>
      </c>
      <c r="D7" s="100" t="inlineStr">
        <is>
          <t>Same - the IP PIN field is not validated against IRS records before transmission.</t>
        </is>
      </c>
      <c r="E7" s="100" t="inlineStr">
        <is>
          <t>General &gt; Electronic Filing: Identity Protection PIN field = current 2026 IP PIN (screen/field per current release - verify).</t>
        </is>
      </c>
      <c r="F7" s="100" t="inlineStr"/>
      <c r="G7" s="100" t="inlineStr">
        <is>
          <t>Reject if stale PIN used; retransmit before 10/15/2026</t>
        </is>
      </c>
      <c r="H7" s="10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EVG1011</t>
        </is>
      </c>
      <c r="B14" s="57" t="n">
        <v>2025</v>
      </c>
      <c r="C14" s="57" t="inlineStr">
        <is>
          <t>none fired</t>
        </is>
      </c>
      <c r="D14" s="57" t="inlineStr">
        <is>
          <t>[No diagnostic - logged by preparer] Coinbase 1099-DA and the CoinLedger Form 8949 both loaded - proceeds counted twice</t>
        </is>
      </c>
      <c r="E14" s="57" t="inlineStr">
        <is>
          <t>Capital Loss</t>
        </is>
      </c>
      <c r="F14" s="57" t="inlineStr">
        <is>
          <t>Yes</t>
        </is>
      </c>
      <c r="G14" s="57" t="inlineStr">
        <is>
          <t>Gains and Losses &gt; Capital Gains and Losses: delete the 1099-DA import; keep the CoinLedger FINAL (09/26/2026) detail only. Map Coinbase rows to Form 8949 box H (ST) / box K (LT) - '1099-DA received, basis not reported'; MetaMask rows to box I / L (no 1099-DA); Robinhood to A / D. Report Coinbase proceeds net of fees so they tie to the 1099-DA: CoinLedger $372,300 - fees $1,489 = $370,811 (same gain - CoinLedger had the fees in basis). Reconciliation attached in the workpapers.</t>
        </is>
      </c>
      <c r="H14" s="3" t="n">
        <v>370811</v>
      </c>
      <c r="I14" s="57" t="inlineStr">
        <is>
          <t>Signed Off</t>
        </is>
      </c>
      <c r="J14" s="57" t="inlineStr">
        <is>
          <t>P. Anand (staff)</t>
        </is>
      </c>
      <c r="K14" s="57" t="inlineStr">
        <is>
          <t>L. Chen (senior)</t>
        </is>
      </c>
      <c r="L14" s="57" t="inlineStr">
        <is>
          <t>EVG1011-SX1 | Workbook tab 19. Crypto Income &amp; Basis | Self-transfers (Coinbase 'Send' 2.0 ETH 08/23 and 1.5 ETH 11/02 to his own MetaMask) are not dispositions; the 2.0 ETH swapped on Uniswap keeps its 04/22/2025 basis $3,574.</t>
        </is>
      </c>
    </row>
    <row r="15">
      <c r="A15" s="70" t="inlineStr">
        <is>
          <t>EVG1011</t>
        </is>
      </c>
      <c r="B15" s="70" t="n">
        <v>2025</v>
      </c>
      <c r="C15" s="70" t="inlineStr">
        <is>
          <t>none fired</t>
        </is>
      </c>
      <c r="D15" s="70" t="inlineStr">
        <is>
          <t>[No diagnostic - logged by preparer] Kraken 1099-MISC staking is already inside the CoinLedger income total</t>
        </is>
      </c>
      <c r="E15" s="70" t="inlineStr">
        <is>
          <t>Other</t>
        </is>
      </c>
      <c r="F15" s="70" t="inlineStr">
        <is>
          <t>Yes</t>
        </is>
      </c>
      <c r="G15" s="70" t="inlineStr">
        <is>
          <t>Income &gt; Other income: enter $2,100 once as digital assets received as ordinary income (Schedule 1 line 8v). Keep the 1099-MISC on file for matching but do not let it flow (or enter it as the 8v item and add only the $860.44 on-chain balance). Not SE income (investor). Included in NII on Form 8960.</t>
        </is>
      </c>
      <c r="H15" s="5" t="n">
        <v>2100</v>
      </c>
      <c r="I15" s="70" t="inlineStr">
        <is>
          <t>Signed Off</t>
        </is>
      </c>
      <c r="J15" s="70" t="inlineStr">
        <is>
          <t>P. Anand (staff)</t>
        </is>
      </c>
      <c r="K15" s="70" t="inlineStr">
        <is>
          <t>L. Chen (senior)</t>
        </is>
      </c>
      <c r="L15" s="70" t="inlineStr">
        <is>
          <t>EVG1011-SX2 | Workbook tab 19. Crypto Income &amp; Basis | Rev. Rul. 2023-14: staking rewards are income at FMV when the taxpayer gains dominion and control.</t>
        </is>
      </c>
    </row>
    <row r="16">
      <c r="A16" s="57" t="inlineStr">
        <is>
          <t>EVG1011</t>
        </is>
      </c>
      <c r="B16" s="57" t="n">
        <v>2025</v>
      </c>
      <c r="C16" s="57" t="inlineStr">
        <is>
          <t>none fired</t>
        </is>
      </c>
      <c r="D16" s="57" t="inlineStr">
        <is>
          <t>[No diagnostic - logged by preparer] NFT digital art imported without the collectible code - 28% gain taxed at 15%</t>
        </is>
      </c>
      <c r="E16" s="57" t="inlineStr">
        <is>
          <t>Capital Loss</t>
        </is>
      </c>
      <c r="F16" s="57" t="inlineStr">
        <is>
          <t>No</t>
        </is>
      </c>
      <c r="G16" s="57" t="inlineStr">
        <is>
          <t>Gains and Losses &gt; Capital Gains and Losses, MetaMask NFT row (box L): adjustment code C (collectible) - gain $8,976 flows to the 28% Rate Gain Worksheet / Schedule D line 18 (verify field name in current release).</t>
        </is>
      </c>
      <c r="H16" s="3" t="n">
        <v>8976</v>
      </c>
      <c r="I16" s="57" t="inlineStr">
        <is>
          <t>Signed Off</t>
        </is>
      </c>
      <c r="J16" s="57" t="inlineStr">
        <is>
          <t>P. Anand (staff)</t>
        </is>
      </c>
      <c r="K16" s="57" t="inlineStr">
        <is>
          <t>L. Chen (senior)</t>
        </is>
      </c>
      <c r="L16" s="57" t="inlineStr">
        <is>
          <t>EVG1011-SX3 | Workbook tab 19. Crypto Income &amp; Basis | Notice 2023-27 look-through: an NFT whose associated right/asset is a work of art is a collectible. Also on this tab: the 04/07 BTC loss ($14,866) stays allowed - section 1091 covers stock/securities, not digital assets, for 2025; the Robinhood TSLA code W ($3,960) is kept as the broker reported it.</t>
        </is>
      </c>
    </row>
    <row r="17">
      <c r="A17" s="70" t="inlineStr">
        <is>
          <t>EVG1011</t>
        </is>
      </c>
      <c r="B17" s="70" t="n">
        <v>2025</v>
      </c>
      <c r="C17" s="70" t="inlineStr">
        <is>
          <t>none fired</t>
        </is>
      </c>
      <c r="D17" s="70" t="inlineStr">
        <is>
          <t>[No diagnostic - logged by preparer] Stale IP PIN from the January 2025 CP01A</t>
        </is>
      </c>
      <c r="E17" s="70" t="inlineStr">
        <is>
          <t>E-file Disqualifying</t>
        </is>
      </c>
      <c r="F17" s="70" t="inlineStr">
        <is>
          <t>No</t>
        </is>
      </c>
      <c r="G17" s="70" t="inlineStr">
        <is>
          <t>General &gt; Electronic Filing: enter the 2026 IP PIN retrieved by the client from his IRS Online Account on 09/28/2026 (taken by phone, not email). Prepare Form 8822 (paper) for the new address.</t>
        </is>
      </c>
      <c r="H17" s="5" t="n"/>
      <c r="I17" s="70" t="inlineStr">
        <is>
          <t>Signed Off</t>
        </is>
      </c>
      <c r="J17" s="70" t="inlineStr">
        <is>
          <t>P. Anand (staff)</t>
        </is>
      </c>
      <c r="K17" s="70" t="inlineStr">
        <is>
          <t>L. Chen (senior)</t>
        </is>
      </c>
      <c r="L17" s="70" t="inlineStr">
        <is>
          <t>EVG1011-SX4 | Workbook tab 2. Diagnostics Log | Nothing fires before transmission; the IRS rejects after transmission (IP PIN mismatch - IND-181/IND-183 family).</t>
        </is>
      </c>
    </row>
    <row r="18">
      <c r="A18" s="57" t="n"/>
      <c r="B18" s="57" t="n"/>
      <c r="C18" s="57" t="n"/>
      <c r="D18" s="57" t="n"/>
      <c r="E18" s="57" t="n"/>
      <c r="F18" s="57" t="n"/>
      <c r="G18" s="57" t="n"/>
      <c r="H18" s="3" t="n"/>
      <c r="I18" s="57" t="n"/>
      <c r="J18" s="57" t="n"/>
      <c r="K18" s="57" t="n"/>
      <c r="L18" s="57" t="n"/>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inlineStr">
        <is>
          <t>Kraken (exchange)</t>
        </is>
      </c>
      <c r="B13" s="57" t="inlineStr">
        <is>
          <t>Stake</t>
        </is>
      </c>
      <c r="C13" s="3" t="n">
        <v>1</v>
      </c>
      <c r="D13" s="3" t="n">
        <v>1240</v>
      </c>
      <c r="E13" s="3">
        <f>C13*D13</f>
        <v/>
      </c>
      <c r="F13" s="57" t="inlineStr">
        <is>
          <t>Ordinary (Sch 1 line 8v)</t>
        </is>
      </c>
      <c r="G13" s="57" t="inlineStr">
        <is>
          <t>1099-MISC box 3 total - one line for all 2025 reward events at FMV when credited. SUBSET of the CoinLedger income report - do not add again.</t>
        </is>
      </c>
    </row>
    <row r="14">
      <c r="A14" s="70" t="inlineStr">
        <is>
          <t>MetaMask - on-chain ETH staking</t>
        </is>
      </c>
      <c r="B14" s="70" t="inlineStr">
        <is>
          <t>Stake</t>
        </is>
      </c>
      <c r="C14" s="5" t="n">
        <v>1</v>
      </c>
      <c r="D14" s="5" t="n">
        <v>860.4400000000001</v>
      </c>
      <c r="E14" s="5">
        <f>C14*D14</f>
        <v/>
      </c>
      <c r="F14" s="70" t="inlineStr">
        <is>
          <t>Ordinary (Sch 1 line 8v)</t>
        </is>
      </c>
      <c r="G14" s="70" t="inlineStr">
        <is>
          <t>CoinLedger income report; no information return. Kraken 1,240.00 + on-chain 860.44 = 2,100.44 -&gt; line 8v $2,100.</t>
        </is>
      </c>
    </row>
    <row r="15">
      <c r="A15" s="57" t="inlineStr">
        <is>
          <t>MetaMask - Uniswap swap 2.0 ETH -&gt; 8,900 USDC (08/24/2025)</t>
        </is>
      </c>
      <c r="B15" s="57" t="inlineStr">
        <is>
          <t>Disposal</t>
        </is>
      </c>
      <c r="C15" s="3" t="n">
        <v>2</v>
      </c>
      <c r="D15" s="3" t="n">
        <v>4443</v>
      </c>
      <c r="E15" s="3">
        <f>C15*D15</f>
        <v/>
      </c>
      <c r="F15" s="57" t="inlineStr">
        <is>
          <t>Capital - ST (8949 box I)</t>
        </is>
      </c>
      <c r="G15" s="57" t="inlineStr">
        <is>
          <t>Basis 3,574 = Coinbase lot acquired 04/22/2025 (Send 08/23 to own wallet is not a sale). Gain 5,312.</t>
        </is>
      </c>
    </row>
    <row r="16">
      <c r="A16" s="70" t="inlineStr">
        <is>
          <t>MetaMask - NFT 'Chromatic Drift #214' (sold 11/12/2025 for 3.9 ETH)</t>
        </is>
      </c>
      <c r="B16" s="70" t="inlineStr">
        <is>
          <t>Disposal</t>
        </is>
      </c>
      <c r="C16" s="5" t="n">
        <v>1</v>
      </c>
      <c r="D16" s="5" t="n">
        <v>11969</v>
      </c>
      <c r="E16" s="5">
        <f>C16*D16</f>
        <v/>
      </c>
      <c r="F16" s="70" t="inlineStr">
        <is>
          <t>Capital - LT collectible 28% (8949 box L, code C)</t>
        </is>
      </c>
      <c r="G16" s="70" t="inlineStr">
        <is>
          <t>Basis 2,992 (acq 02/05/2023). Gain 8,976 -&gt; Sch D line 18.</t>
        </is>
      </c>
    </row>
    <row r="17">
      <c r="A17" s="57" t="inlineStr">
        <is>
          <t>Coinbase - 0.5 BTC sold 04/07/2025</t>
        </is>
      </c>
      <c r="B17" s="57" t="inlineStr">
        <is>
          <t>Disposal</t>
        </is>
      </c>
      <c r="C17" s="3" t="n">
        <v>0.5</v>
      </c>
      <c r="D17" s="3" t="n">
        <v>76692</v>
      </c>
      <c r="E17" s="3">
        <f>C17*D17</f>
        <v/>
      </c>
      <c r="F17" s="57" t="inlineStr">
        <is>
          <t>Capital - ST (8949 box H)</t>
        </is>
      </c>
      <c r="G17" s="57" t="inlineStr">
        <is>
          <t>Basis 53,212 -&gt; loss (14,866) ALLOWED: no wash-sale rule for digital assets in 2025 (repurchased 0.5 BTC 04/18).</t>
        </is>
      </c>
    </row>
    <row r="18">
      <c r="A18" s="70" t="inlineStr">
        <is>
          <t>Coinbase - all 2025 sales per 1099-DA (7 rows)</t>
        </is>
      </c>
      <c r="B18" s="70" t="inlineStr">
        <is>
          <t>Disposal (summary)</t>
        </is>
      </c>
      <c r="C18" s="5" t="n">
        <v>1</v>
      </c>
      <c r="D18" s="5" t="n">
        <v>370811</v>
      </c>
      <c r="E18" s="5">
        <f>C18*D18</f>
        <v/>
      </c>
      <c r="F18" s="70" t="inlineStr">
        <is>
          <t>Capital - 8949 boxes H/K</t>
        </is>
      </c>
      <c r="G18" s="70" t="inlineStr">
        <is>
          <t>1099-DA gross proceeds net of fees. Reported ONCE from CoinLedger detail (CoinLedger 372,300 - fees 1,489). Do NOT import the 1099-DA separately (would add ~370,811 of $0-basis gain).</t>
        </is>
      </c>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2026-10-12T16:22:56Z</dcterms:modified>
  <cp:lastModifiedBy>Shane Kennedy</cp:lastModifiedBy>
  <cp:revision>0</cp:revision>
</cp:coreProperties>
</file>