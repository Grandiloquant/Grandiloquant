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500" firstSheet="25" activeTab="25" autoFilterDateGrouping="1"/>
  </bookViews>
  <sheets>
    <sheet xmlns:r="http://schemas.openxmlformats.org/officeDocument/2006/relationships" name="START HERE" sheetId="1" state="visible" r:id="rId1"/>
    <sheet xmlns:r="http://schemas.openxmlformats.org/officeDocument/2006/relationships" name="Corrections Log" sheetId="2" state="visible" r:id="rId2"/>
    <sheet xmlns:r="http://schemas.openxmlformats.org/officeDocument/2006/relationships" name="ProConnect Exceptions" sheetId="3" state="visible" r:id="rId3"/>
    <sheet xmlns:r="http://schemas.openxmlformats.org/officeDocument/2006/relationships" name="2. Diagnostics Log" sheetId="4" state="visible" r:id="rId4"/>
    <sheet xmlns:r="http://schemas.openxmlformats.org/officeDocument/2006/relationships" name="3. K-1 Basis Limitation" sheetId="5" state="visible" r:id="rId5"/>
    <sheet xmlns:r="http://schemas.openxmlformats.org/officeDocument/2006/relationships" name="4. At-Risk (Form 6198)" sheetId="6" state="visible" r:id="rId6"/>
    <sheet xmlns:r="http://schemas.openxmlformats.org/officeDocument/2006/relationships" name="5. Passive Activity (8582)" sheetId="7" state="visible" r:id="rId7"/>
    <sheet xmlns:r="http://schemas.openxmlformats.org/officeDocument/2006/relationships" name="6. Depreciation Overrides" sheetId="8" state="visible" r:id="rId8"/>
    <sheet xmlns:r="http://schemas.openxmlformats.org/officeDocument/2006/relationships" name="7. Multi-State Allocation" sheetId="9" state="visible" r:id="rId9"/>
    <sheet xmlns:r="http://schemas.openxmlformats.org/officeDocument/2006/relationships" name="8. Est. Tax Penalty (2210)" sheetId="10" state="visible" r:id="rId10"/>
    <sheet xmlns:r="http://schemas.openxmlformats.org/officeDocument/2006/relationships" name="9. AMT Adjustments (6251)" sheetId="11" state="visible" r:id="rId11"/>
    <sheet xmlns:r="http://schemas.openxmlformats.org/officeDocument/2006/relationships" name="10. Capital Loss Carryover" sheetId="12" state="visible" r:id="rId12"/>
    <sheet xmlns:r="http://schemas.openxmlformats.org/officeDocument/2006/relationships" name="11. Hot Assets &amp; Mixing Bowl" sheetId="13" state="visible" r:id="rId13"/>
    <sheet xmlns:r="http://schemas.openxmlformats.org/officeDocument/2006/relationships" name="12. S-Corp Dual Basis" sheetId="14" state="visible" r:id="rId14"/>
    <sheet xmlns:r="http://schemas.openxmlformats.org/officeDocument/2006/relationships" name="13. Trust Termination PAL" sheetId="15" state="visible" r:id="rId15"/>
    <sheet xmlns:r="http://schemas.openxmlformats.org/officeDocument/2006/relationships" name="14. Bond Interest &amp; Premium" sheetId="16" state="visible" r:id="rId16"/>
    <sheet xmlns:r="http://schemas.openxmlformats.org/officeDocument/2006/relationships" name="15. Mortgage Interest Limit" sheetId="17" state="visible" r:id="rId17"/>
    <sheet xmlns:r="http://schemas.openxmlformats.org/officeDocument/2006/relationships" name="16. Vacation Home Allocation" sheetId="18" state="visible" r:id="rId18"/>
    <sheet xmlns:r="http://schemas.openxmlformats.org/officeDocument/2006/relationships" name="17. Equity Comp &amp; Wash Sales" sheetId="19" state="visible" r:id="rId19"/>
    <sheet xmlns:r="http://schemas.openxmlformats.org/officeDocument/2006/relationships" name="18. NUA &amp; IRD Deduction" sheetId="20" state="visible" r:id="rId20"/>
    <sheet xmlns:r="http://schemas.openxmlformats.org/officeDocument/2006/relationships" name="19. Crypto Income &amp; Basis" sheetId="21" state="visible" r:id="rId21"/>
    <sheet xmlns:r="http://schemas.openxmlformats.org/officeDocument/2006/relationships" name="20. Insolvency (Form 982)" sheetId="22" state="visible" r:id="rId22"/>
    <sheet xmlns:r="http://schemas.openxmlformats.org/officeDocument/2006/relationships" name="21. Involuntary Conv. 1033" sheetId="23" state="visible" r:id="rId23"/>
    <sheet xmlns:r="http://schemas.openxmlformats.org/officeDocument/2006/relationships" name="22. Reorg, Liquidation, 1244" sheetId="24" state="visible" r:id="rId24"/>
    <sheet xmlns:r="http://schemas.openxmlformats.org/officeDocument/2006/relationships" name="23. Multi-State W-2 Days" sheetId="25" state="visible" r:id="rId25"/>
    <sheet xmlns:r="http://schemas.openxmlformats.org/officeDocument/2006/relationships" name="24. Rare-Event Log" sheetId="26" state="visible" r:id="rId26"/>
    <sheet xmlns:r="http://schemas.openxmlformats.org/officeDocument/2006/relationships" name="AI Remediation Strategy" sheetId="27" state="visible" r:id="rId27"/>
    <sheet xmlns:r="http://schemas.openxmlformats.org/officeDocument/2006/relationships" name="Firm Remediation Workbench" sheetId="28" state="visible" r:id="rId28"/>
  </sheets>
  <definedNames/>
  <calcPr calcId="191029" fullCalcOnLoad="1"/>
</workbook>
</file>

<file path=xl/styles.xml><?xml version="1.0" encoding="utf-8"?>
<styleSheet xmlns="http://schemas.openxmlformats.org/spreadsheetml/2006/main">
  <numFmts count="1">
    <numFmt numFmtId="164" formatCode="#,##0;\(#,##0\)"/>
  </numFmts>
  <fonts count="24">
    <font>
      <name val="Calibri"/>
      <charset val="1"/>
      <family val="2"/>
      <color theme="1"/>
      <sz val="11"/>
    </font>
    <font>
      <name val="Arial"/>
      <charset val="1"/>
      <b val="1"/>
      <color rgb="FFFFFFFF"/>
      <sz val="20"/>
    </font>
    <font>
      <name val="Arial"/>
      <charset val="1"/>
      <color rgb="FF1A1A1A"/>
      <sz val="10"/>
    </font>
    <font>
      <name val="Arial"/>
      <charset val="1"/>
      <b val="1"/>
      <color rgb="FFFFFFFF"/>
      <sz val="12"/>
    </font>
    <font>
      <name val="Arial"/>
      <charset val="1"/>
      <b val="1"/>
      <color rgb="FF1A1A1A"/>
      <sz val="10"/>
    </font>
    <font>
      <name val="Arial"/>
      <charset val="1"/>
      <color rgb="FF1155CC"/>
      <sz val="9"/>
      <u val="single"/>
    </font>
    <font>
      <name val="Arial"/>
      <charset val="1"/>
      <b val="1"/>
      <color rgb="FFFFFFFF"/>
      <sz val="16"/>
    </font>
    <font>
      <name val="Arial"/>
      <charset val="1"/>
      <b val="1"/>
      <color rgb="FF1A1A1A"/>
      <sz val="11"/>
    </font>
    <font>
      <name val="Arial"/>
      <charset val="1"/>
      <color rgb="FF1A1A1A"/>
      <sz val="9.5"/>
    </font>
    <font>
      <name val="Arial"/>
      <charset val="1"/>
      <i val="1"/>
      <color rgb="FF8C7355"/>
      <sz val="9"/>
    </font>
    <font>
      <name val="Arial"/>
      <charset val="1"/>
      <b val="1"/>
      <color rgb="FFFFFFFF"/>
      <sz val="10"/>
    </font>
    <font>
      <name val="Aptos"/>
      <color theme="1"/>
      <sz val="10"/>
    </font>
    <font>
      <name val="Aptos"/>
      <b val="1"/>
      <color rgb="FFFFFFFF"/>
      <sz val="10"/>
    </font>
    <font>
      <name val="Aptos"/>
      <b val="1"/>
      <color rgb="FFFFFFFF"/>
      <sz val="18"/>
    </font>
    <font>
      <name val="Aptos"/>
      <i val="1"/>
      <color rgb="FF5B665F"/>
      <sz val="10"/>
    </font>
    <font>
      <name val="Aptos"/>
      <b val="1"/>
      <color theme="1"/>
      <sz val="10"/>
    </font>
    <font>
      <name val="Aptos"/>
      <color rgb="FF6E7B74"/>
      <sz val="9"/>
    </font>
    <font>
      <name val="Aptos"/>
      <i val="1"/>
      <color rgb="FFDCEBE5"/>
      <sz val="10"/>
    </font>
    <font>
      <name val="Aptos"/>
      <b val="1"/>
      <color rgb="FF173F35"/>
      <sz val="18"/>
    </font>
    <font>
      <name val="Aptos"/>
      <b val="1"/>
      <color rgb="FF2F6B57"/>
      <sz val="10"/>
    </font>
    <font>
      <name val="Aptos"/>
      <b val="1"/>
      <color rgb="FFFFFFFF"/>
      <sz val="12"/>
    </font>
    <font>
      <b val="1"/>
    </font>
    <font>
      <b val="1"/>
      <color rgb="00FFFFFF"/>
    </font>
    <font>
      <b val="1"/>
      <sz val="12"/>
    </font>
  </fonts>
  <fills count="21">
    <fill>
      <patternFill/>
    </fill>
    <fill>
      <patternFill patternType="gray125"/>
    </fill>
    <fill>
      <patternFill patternType="solid">
        <fgColor rgb="FF1E4620"/>
        <bgColor rgb="FF003300"/>
      </patternFill>
    </fill>
    <fill>
      <patternFill patternType="solid">
        <fgColor rgb="FFD9C9A8"/>
        <bgColor rgb="FFFFCC99"/>
      </patternFill>
    </fill>
    <fill>
      <patternFill patternType="solid">
        <fgColor rgb="FF3F7A3E"/>
        <bgColor rgb="FF666699"/>
      </patternFill>
    </fill>
    <fill>
      <patternFill patternType="solid">
        <fgColor rgb="FFF2EBDD"/>
        <bgColor rgb="FFDCE9D5"/>
      </patternFill>
    </fill>
    <fill>
      <patternFill patternType="solid">
        <fgColor rgb="FFDCE9D5"/>
        <bgColor rgb="FFF2EBDD"/>
      </patternFill>
    </fill>
    <fill>
      <patternFill patternType="solid">
        <fgColor rgb="FFFFFFFF"/>
        <bgColor rgb="FFF2EBDD"/>
      </patternFill>
    </fill>
    <fill>
      <patternFill patternType="solid">
        <fgColor rgb="FF173F35"/>
        <bgColor indexed="64"/>
      </patternFill>
    </fill>
    <fill>
      <patternFill patternType="solid">
        <fgColor rgb="FFE6F0EB"/>
        <bgColor indexed="64"/>
      </patternFill>
    </fill>
    <fill>
      <patternFill patternType="solid">
        <fgColor rgb="FFF4F0E6"/>
        <bgColor indexed="64"/>
      </patternFill>
    </fill>
    <fill>
      <patternFill patternType="solid">
        <fgColor rgb="FF3F765F"/>
        <bgColor indexed="64"/>
      </patternFill>
    </fill>
    <fill>
      <patternFill patternType="solid">
        <fgColor rgb="FFF3F7F5"/>
        <bgColor indexed="64"/>
      </patternFill>
    </fill>
    <fill>
      <patternFill patternType="solid">
        <fgColor rgb="FF92D050"/>
        <bgColor indexed="64"/>
      </patternFill>
    </fill>
    <fill>
      <patternFill patternType="solid">
        <fgColor rgb="FFC8953D"/>
        <bgColor indexed="64"/>
      </patternFill>
    </fill>
    <fill>
      <patternFill patternType="solid">
        <fgColor rgb="FFF7F2E8"/>
        <bgColor indexed="64"/>
      </patternFill>
    </fill>
    <fill>
      <patternFill patternType="solid">
        <fgColor rgb="FFE7F1EC"/>
        <bgColor indexed="64"/>
      </patternFill>
    </fill>
    <fill>
      <patternFill patternType="solid">
        <fgColor rgb="FF2F6B57"/>
        <bgColor indexed="64"/>
      </patternFill>
    </fill>
    <fill>
      <patternFill patternType="solid">
        <fgColor rgb="FFFFFFFF"/>
        <bgColor indexed="64"/>
      </patternFill>
    </fill>
    <fill>
      <patternFill patternType="solid">
        <fgColor rgb="FFEADFC8"/>
        <bgColor indexed="64"/>
      </patternFill>
    </fill>
    <fill>
      <patternFill patternType="solid">
        <fgColor rgb="001F5C3A"/>
      </patternFill>
    </fill>
  </fills>
  <borders count="11">
    <border>
      <left/>
      <right/>
      <top/>
      <bottom/>
      <diagonal/>
    </border>
    <border>
      <left style="thin">
        <color rgb="FF8C7355"/>
      </left>
      <right style="thin">
        <color rgb="FF8C7355"/>
      </right>
      <top style="thin">
        <color rgb="FF8C7355"/>
      </top>
      <bottom style="thin">
        <color rgb="FF8C7355"/>
      </bottom>
      <diagonal/>
    </border>
    <border>
      <left style="thin">
        <color rgb="FF8C7355"/>
      </left>
      <right/>
      <top style="thin">
        <color rgb="FF8C7355"/>
      </top>
      <bottom style="thin">
        <color rgb="FF8C7355"/>
      </bottom>
      <diagonal/>
    </border>
    <border>
      <left style="thin">
        <color indexed="64"/>
      </left>
      <right style="thin">
        <color indexed="64"/>
      </right>
      <top style="thin">
        <color indexed="64"/>
      </top>
      <bottom style="thin">
        <color indexed="64"/>
      </bottom>
      <diagonal/>
    </border>
    <border>
      <left style="thin">
        <color rgb="FF8C7355"/>
      </left>
      <right/>
      <top style="thin">
        <color rgb="FF8C7355"/>
      </top>
      <bottom/>
      <diagonal/>
    </border>
    <border>
      <left/>
      <right/>
      <top/>
      <bottom style="thin">
        <color rgb="FFCAD5CF"/>
      </bottom>
      <diagonal/>
    </border>
    <border>
      <left/>
      <right style="thin">
        <color rgb="FF2F6B57"/>
      </right>
      <top/>
      <bottom/>
      <diagonal/>
    </border>
    <border>
      <left/>
      <right/>
      <top style="thin">
        <color rgb="FF8C7355"/>
      </top>
      <bottom/>
      <diagonal/>
    </border>
    <border>
      <left/>
      <right/>
      <top style="thin">
        <color rgb="FF8C7355"/>
      </top>
      <bottom style="thin">
        <color rgb="FF8C7355"/>
      </bottom>
      <diagonal/>
    </border>
    <border>
      <left/>
      <right style="thin">
        <color rgb="FF8C7355"/>
      </right>
      <top style="thin">
        <color rgb="FF8C7355"/>
      </top>
      <bottom/>
      <diagonal/>
    </border>
    <border>
      <left/>
      <right style="thin">
        <color rgb="FF8C7355"/>
      </right>
      <top style="thin">
        <color rgb="FF8C7355"/>
      </top>
      <bottom style="thin">
        <color rgb="FF8C7355"/>
      </bottom>
      <diagonal/>
    </border>
  </borders>
  <cellStyleXfs count="1">
    <xf numFmtId="0" fontId="0" fillId="0" borderId="0"/>
  </cellStyleXfs>
  <cellXfs count="103">
    <xf numFmtId="0" fontId="0" fillId="0" borderId="0" pivotButton="0" quotePrefix="0" xfId="0"/>
    <xf numFmtId="0" fontId="0" fillId="6" borderId="1" pivotButton="0" quotePrefix="0" xfId="0"/>
    <xf numFmtId="0" fontId="10" fillId="2" borderId="1" applyAlignment="1" pivotButton="0" quotePrefix="0" xfId="0">
      <alignment horizontal="center" vertical="center" wrapText="1"/>
    </xf>
    <xf numFmtId="164" fontId="0" fillId="6" borderId="1" pivotButton="0" quotePrefix="0" xfId="0"/>
    <xf numFmtId="0" fontId="0" fillId="7" borderId="1" pivotButton="0" quotePrefix="0" xfId="0"/>
    <xf numFmtId="164" fontId="0" fillId="7" borderId="1" pivotButton="0" quotePrefix="0" xfId="0"/>
    <xf numFmtId="0" fontId="2" fillId="6" borderId="1" pivotButton="0" quotePrefix="0" xfId="0"/>
    <xf numFmtId="164" fontId="2" fillId="6" borderId="1" pivotButton="0" quotePrefix="0" xfId="0"/>
    <xf numFmtId="0" fontId="2" fillId="7" borderId="1" pivotButton="0" quotePrefix="0" xfId="0"/>
    <xf numFmtId="164" fontId="2" fillId="7" borderId="1" pivotButton="0" quotePrefix="0" xfId="0"/>
    <xf numFmtId="0" fontId="10" fillId="4" borderId="1" pivotButton="0" quotePrefix="0" xfId="0"/>
    <xf numFmtId="164" fontId="10" fillId="4" borderId="1" pivotButton="0" quotePrefix="0" xfId="0"/>
    <xf numFmtId="10" fontId="0" fillId="6" borderId="1" pivotButton="0" quotePrefix="0" xfId="0"/>
    <xf numFmtId="10" fontId="0" fillId="7" borderId="1" pivotButton="0" quotePrefix="0" xfId="0"/>
    <xf numFmtId="9" fontId="0" fillId="6" borderId="1" pivotButton="0" quotePrefix="0" xfId="0"/>
    <xf numFmtId="164" fontId="4" fillId="6" borderId="1" pivotButton="0" quotePrefix="0" xfId="0"/>
    <xf numFmtId="0" fontId="3" fillId="2" borderId="3" applyAlignment="1" pivotButton="0" quotePrefix="0" xfId="0">
      <alignment horizontal="left" vertical="center"/>
    </xf>
    <xf numFmtId="0" fontId="0" fillId="0" borderId="3" pivotButton="0" quotePrefix="0" xfId="0"/>
    <xf numFmtId="0" fontId="2" fillId="0" borderId="3" applyAlignment="1" pivotButton="0" quotePrefix="0" xfId="0">
      <alignment horizontal="left" vertical="top" wrapText="1"/>
    </xf>
    <xf numFmtId="0" fontId="5" fillId="0" borderId="3" applyAlignment="1" pivotButton="0" quotePrefix="0" xfId="0">
      <alignment horizontal="left" vertical="top" wrapText="1"/>
    </xf>
    <xf numFmtId="0" fontId="0" fillId="0" borderId="0" applyAlignment="1" pivotButton="0" quotePrefix="0" xfId="0">
      <alignment horizontal="center"/>
    </xf>
    <xf numFmtId="0" fontId="11" fillId="0" borderId="0" applyAlignment="1" pivotButton="0" quotePrefix="0" xfId="0">
      <alignment vertical="center"/>
    </xf>
    <xf numFmtId="0" fontId="11" fillId="0" borderId="0" applyAlignment="1" pivotButton="0" quotePrefix="0" xfId="0">
      <alignment horizontal="center" vertical="center"/>
    </xf>
    <xf numFmtId="0" fontId="15" fillId="10" borderId="0" applyAlignment="1" pivotButton="0" quotePrefix="0" xfId="0">
      <alignment vertical="center" wrapText="1"/>
    </xf>
    <xf numFmtId="0" fontId="11" fillId="10" borderId="0" applyAlignment="1" pivotButton="0" quotePrefix="0" xfId="0">
      <alignment vertical="center" wrapText="1"/>
    </xf>
    <xf numFmtId="0" fontId="12" fillId="8" borderId="0" applyAlignment="1" pivotButton="0" quotePrefix="0" xfId="0">
      <alignment vertical="center" wrapText="1"/>
    </xf>
    <xf numFmtId="0" fontId="12" fillId="8" borderId="0" applyAlignment="1" pivotButton="0" quotePrefix="0" xfId="0">
      <alignment horizontal="center" vertical="center" wrapText="1"/>
    </xf>
    <xf numFmtId="2" fontId="15" fillId="0" borderId="0" applyAlignment="1" pivotButton="0" quotePrefix="0" xfId="0">
      <alignment horizontal="center" vertical="center"/>
    </xf>
    <xf numFmtId="0" fontId="11" fillId="0" borderId="0" applyAlignment="1" pivotButton="0" quotePrefix="0" xfId="0">
      <alignment vertical="center" wrapText="1"/>
    </xf>
    <xf numFmtId="9" fontId="11" fillId="0" borderId="0" applyAlignment="1" pivotButton="0" quotePrefix="0" xfId="0">
      <alignment horizontal="center" vertical="center" wrapText="1"/>
    </xf>
    <xf numFmtId="0" fontId="16" fillId="0" borderId="0" applyAlignment="1" pivotButton="0" quotePrefix="0" xfId="0">
      <alignment vertical="center"/>
    </xf>
    <xf numFmtId="9" fontId="16" fillId="0" borderId="0" applyAlignment="1" pivotButton="0" quotePrefix="0" xfId="0">
      <alignment vertical="center"/>
    </xf>
    <xf numFmtId="0" fontId="15" fillId="0" borderId="0" applyAlignment="1" pivotButton="0" quotePrefix="0" xfId="0">
      <alignment vertical="center" wrapText="1"/>
    </xf>
    <xf numFmtId="0" fontId="15" fillId="0" borderId="0" applyAlignment="1" pivotButton="0" quotePrefix="0" xfId="0">
      <alignment horizontal="center" vertical="center"/>
    </xf>
    <xf numFmtId="0" fontId="15" fillId="12" borderId="0" applyAlignment="1" pivotButton="0" quotePrefix="0" xfId="0">
      <alignment horizontal="center" vertical="center"/>
    </xf>
    <xf numFmtId="0" fontId="11" fillId="12" borderId="0" applyAlignment="1" pivotButton="0" quotePrefix="0" xfId="0">
      <alignment vertical="center" wrapText="1"/>
    </xf>
    <xf numFmtId="0" fontId="11" fillId="12" borderId="0" applyAlignment="1" pivotButton="0" quotePrefix="0" xfId="0">
      <alignment horizontal="center" vertical="center"/>
    </xf>
    <xf numFmtId="2" fontId="15" fillId="12" borderId="0" applyAlignment="1" pivotButton="0" quotePrefix="0" xfId="0">
      <alignment horizontal="center" vertical="center"/>
    </xf>
    <xf numFmtId="9" fontId="11" fillId="12" borderId="0" applyAlignment="1" pivotButton="0" quotePrefix="0" xfId="0">
      <alignment horizontal="center" vertical="center" wrapText="1"/>
    </xf>
    <xf numFmtId="0" fontId="11" fillId="13" borderId="0" applyAlignment="1" pivotButton="0" quotePrefix="0" xfId="0">
      <alignment vertical="center" wrapText="1"/>
    </xf>
    <xf numFmtId="9" fontId="11" fillId="13" borderId="0" applyAlignment="1" pivotButton="0" quotePrefix="0" xfId="0">
      <alignment horizontal="center" vertical="center" wrapText="1"/>
    </xf>
    <xf numFmtId="0" fontId="11" fillId="13" borderId="0" applyAlignment="1" pivotButton="0" quotePrefix="0" xfId="0">
      <alignment vertical="center"/>
    </xf>
    <xf numFmtId="0" fontId="0" fillId="13" borderId="0" pivotButton="0" quotePrefix="0" xfId="0"/>
    <xf numFmtId="0" fontId="11" fillId="0" borderId="0" applyAlignment="1" pivotButton="0" quotePrefix="0" xfId="0">
      <alignment vertical="center" wrapText="1"/>
    </xf>
    <xf numFmtId="0" fontId="13" fillId="8" borderId="0" applyAlignment="1" pivotButton="0" quotePrefix="0" xfId="0">
      <alignment vertical="center"/>
    </xf>
    <xf numFmtId="0" fontId="14" fillId="0" borderId="0" applyAlignment="1" pivotButton="0" quotePrefix="0" xfId="0">
      <alignment vertical="center"/>
    </xf>
    <xf numFmtId="0" fontId="15" fillId="9" borderId="0" applyAlignment="1" pivotButton="0" quotePrefix="0" xfId="0">
      <alignment vertical="center" wrapText="1"/>
    </xf>
    <xf numFmtId="0" fontId="12" fillId="11" borderId="0" applyAlignment="1" pivotButton="0" quotePrefix="0" xfId="0">
      <alignment vertical="center"/>
    </xf>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3" fillId="2" borderId="0" applyAlignment="1" pivotButton="0" quotePrefix="0" xfId="0">
      <alignment horizontal="left" vertical="center"/>
    </xf>
    <xf numFmtId="0" fontId="0" fillId="2" borderId="1" pivotButton="0" quotePrefix="0" xfId="0"/>
    <xf numFmtId="0" fontId="4" fillId="0" borderId="0" applyAlignment="1" pivotButton="0" quotePrefix="0" xfId="0">
      <alignment horizontal="left" vertical="center"/>
    </xf>
    <xf numFmtId="0" fontId="2" fillId="0" borderId="0" applyAlignment="1" pivotButton="0" quotePrefix="0" xfId="0">
      <alignment horizontal="left" vertical="top" wrapText="1"/>
    </xf>
    <xf numFmtId="0" fontId="0" fillId="4" borderId="1" pivotButton="0" quotePrefix="0" xfId="0"/>
    <xf numFmtId="0" fontId="0" fillId="3" borderId="1" pivotButton="0" quotePrefix="0" xfId="0"/>
    <xf numFmtId="0" fontId="0" fillId="5" borderId="1" pivotButton="0" quotePrefix="0" xfId="0"/>
    <xf numFmtId="0" fontId="0" fillId="6" borderId="1" pivotButton="0" quotePrefix="0" xfId="0"/>
    <xf numFmtId="0" fontId="4" fillId="6" borderId="1" applyAlignment="1" pivotButton="0" quotePrefix="0" xfId="0">
      <alignment horizontal="left" vertical="top" wrapText="1"/>
    </xf>
    <xf numFmtId="0" fontId="2" fillId="6" borderId="1" applyAlignment="1" pivotButton="0" quotePrefix="0" xfId="0">
      <alignment horizontal="left" vertical="top" wrapText="1"/>
    </xf>
    <xf numFmtId="0" fontId="4" fillId="6" borderId="2" applyAlignment="1" pivotButton="0" quotePrefix="0" xfId="0">
      <alignment horizontal="left" vertical="top" wrapText="1"/>
    </xf>
    <xf numFmtId="0" fontId="2" fillId="6" borderId="2" applyAlignment="1" pivotButton="0" quotePrefix="0" xfId="0">
      <alignment horizontal="left" vertical="top" wrapText="1"/>
    </xf>
    <xf numFmtId="0" fontId="4" fillId="6" borderId="4" applyAlignment="1" pivotButton="0" quotePrefix="0" xfId="0">
      <alignment horizontal="left" vertical="top" wrapText="1"/>
    </xf>
    <xf numFmtId="0" fontId="2" fillId="6" borderId="4" applyAlignment="1" pivotButton="0" quotePrefix="0" xfId="0">
      <alignment horizontal="left" vertical="top" wrapText="1"/>
    </xf>
    <xf numFmtId="0" fontId="6" fillId="2" borderId="0" applyAlignment="1" pivotButton="0" quotePrefix="0" xfId="0">
      <alignment horizontal="center" vertical="center"/>
    </xf>
    <xf numFmtId="0" fontId="7" fillId="3" borderId="0" applyAlignment="1" pivotButton="0" quotePrefix="0" xfId="0">
      <alignment horizontal="left" vertical="center" indent="1"/>
    </xf>
    <xf numFmtId="0" fontId="4" fillId="3" borderId="0" applyAlignment="1" pivotButton="0" quotePrefix="0" xfId="0">
      <alignment horizontal="left" vertical="center" wrapText="1" indent="1"/>
    </xf>
    <xf numFmtId="0" fontId="8" fillId="3" borderId="0" applyAlignment="1" pivotButton="0" quotePrefix="0" xfId="0">
      <alignment horizontal="left" vertical="top" wrapText="1" indent="1"/>
    </xf>
    <xf numFmtId="0" fontId="9" fillId="3" borderId="0" applyAlignment="1" pivotButton="0" quotePrefix="0" xfId="0">
      <alignment horizontal="left" vertical="center" wrapText="1" indent="1"/>
    </xf>
    <xf numFmtId="0" fontId="10" fillId="4" borderId="0" applyAlignment="1" pivotButton="0" quotePrefix="0" xfId="0">
      <alignment horizontal="left" vertical="center"/>
    </xf>
    <xf numFmtId="0" fontId="0" fillId="7" borderId="1" pivotButton="0" quotePrefix="0" xfId="0"/>
    <xf numFmtId="0" fontId="4" fillId="7" borderId="1" applyAlignment="1" pivotButton="0" quotePrefix="0" xfId="0">
      <alignment horizontal="left" vertical="top" wrapText="1"/>
    </xf>
    <xf numFmtId="0" fontId="13" fillId="8" borderId="0" applyAlignment="1" pivotButton="0" quotePrefix="0" xfId="0">
      <alignment vertical="center" wrapText="1"/>
    </xf>
    <xf numFmtId="0" fontId="17" fillId="8" borderId="0" applyAlignment="1" pivotButton="0" quotePrefix="0" xfId="0">
      <alignment vertical="center" wrapText="1"/>
    </xf>
    <xf numFmtId="0" fontId="12" fillId="14" borderId="0" applyAlignment="1" pivotButton="0" quotePrefix="0" xfId="0">
      <alignment vertical="center" wrapText="1"/>
    </xf>
    <xf numFmtId="0" fontId="15" fillId="15" borderId="0" applyAlignment="1" pivotButton="0" quotePrefix="0" xfId="0">
      <alignment vertical="center" wrapText="1"/>
    </xf>
    <xf numFmtId="0" fontId="18" fillId="16" borderId="0" applyAlignment="1" pivotButton="0" quotePrefix="0" xfId="0">
      <alignment horizontal="center" vertical="center" wrapText="1"/>
    </xf>
    <xf numFmtId="0" fontId="19" fillId="16" borderId="0" applyAlignment="1" pivotButton="0" quotePrefix="0" xfId="0">
      <alignment horizontal="center" vertical="center" wrapText="1"/>
    </xf>
    <xf numFmtId="0" fontId="19" fillId="0" borderId="0" applyAlignment="1" pivotButton="0" quotePrefix="0" xfId="0">
      <alignment horizontal="center" vertical="center" wrapText="1"/>
    </xf>
    <xf numFmtId="0" fontId="20" fillId="8" borderId="0" applyAlignment="1" pivotButton="0" quotePrefix="0" xfId="0">
      <alignment vertical="center" wrapText="1"/>
    </xf>
    <xf numFmtId="0" fontId="12" fillId="17" borderId="0" applyAlignment="1" pivotButton="0" quotePrefix="0" xfId="0">
      <alignment horizontal="center" vertical="center" wrapText="1"/>
    </xf>
    <xf numFmtId="0" fontId="11" fillId="18" borderId="0" applyAlignment="1" pivotButton="0" quotePrefix="0" xfId="0">
      <alignment vertical="center" wrapText="1"/>
    </xf>
    <xf numFmtId="0" fontId="11" fillId="18" borderId="5" applyAlignment="1" pivotButton="0" quotePrefix="0" xfId="0">
      <alignment vertical="center" wrapText="1"/>
    </xf>
    <xf numFmtId="0" fontId="11" fillId="16" borderId="0" applyAlignment="1" pivotButton="0" quotePrefix="0" xfId="0">
      <alignment vertical="center" wrapText="1"/>
    </xf>
    <xf numFmtId="0" fontId="11" fillId="16" borderId="5" applyAlignment="1" pivotButton="0" quotePrefix="0" xfId="0">
      <alignment vertical="center" wrapText="1"/>
    </xf>
    <xf numFmtId="0" fontId="15" fillId="19" borderId="0" applyAlignment="1" pivotButton="0" quotePrefix="0" xfId="0">
      <alignment vertical="center" wrapText="1"/>
    </xf>
    <xf numFmtId="0" fontId="15" fillId="19" borderId="5" applyAlignment="1" pivotButton="0" quotePrefix="0" xfId="0">
      <alignment vertical="center" wrapText="1"/>
    </xf>
    <xf numFmtId="0" fontId="15" fillId="18" borderId="0" applyAlignment="1" pivotButton="0" quotePrefix="0" xfId="0">
      <alignment vertical="center" wrapText="1"/>
    </xf>
    <xf numFmtId="0" fontId="15" fillId="16" borderId="0" applyAlignment="1" pivotButton="0" quotePrefix="0" xfId="0">
      <alignment vertical="center" wrapText="1"/>
    </xf>
    <xf numFmtId="0" fontId="15" fillId="16" borderId="5" applyAlignment="1" pivotButton="0" quotePrefix="0" xfId="0">
      <alignment vertical="center" wrapText="1"/>
    </xf>
    <xf numFmtId="0" fontId="15" fillId="18" borderId="5" applyAlignment="1" pivotButton="0" quotePrefix="0" xfId="0">
      <alignment vertical="center" wrapText="1"/>
    </xf>
    <xf numFmtId="0" fontId="15" fillId="18" borderId="0" applyAlignment="1" pivotButton="0" quotePrefix="0" xfId="0">
      <alignment horizontal="center" vertical="center" wrapText="1"/>
    </xf>
    <xf numFmtId="0" fontId="15" fillId="16" borderId="0" applyAlignment="1" pivotButton="0" quotePrefix="0" xfId="0">
      <alignment horizontal="center" vertical="center" wrapText="1"/>
    </xf>
    <xf numFmtId="0" fontId="15" fillId="16" borderId="5" applyAlignment="1" pivotButton="0" quotePrefix="0" xfId="0">
      <alignment horizontal="center" vertical="center" wrapText="1"/>
    </xf>
    <xf numFmtId="0" fontId="18" fillId="16" borderId="0" applyAlignment="1" pivotButton="0" quotePrefix="0" xfId="0">
      <alignment horizontal="center" vertical="center" wrapText="1"/>
    </xf>
    <xf numFmtId="0" fontId="19" fillId="16" borderId="6" applyAlignment="1" pivotButton="0" quotePrefix="0" xfId="0">
      <alignment horizontal="center" vertical="center" wrapText="1"/>
    </xf>
    <xf numFmtId="0" fontId="0" fillId="0" borderId="10" pivotButton="0" quotePrefix="0" xfId="0"/>
    <xf numFmtId="0" fontId="0" fillId="0" borderId="8" pivotButton="0" quotePrefix="0" xfId="0"/>
    <xf numFmtId="0" fontId="0" fillId="0" borderId="7" pivotButton="0" quotePrefix="0" xfId="0"/>
    <xf numFmtId="0" fontId="22" fillId="20" borderId="0" pivotButton="0" quotePrefix="0" xfId="0"/>
    <xf numFmtId="0" fontId="0" fillId="0" borderId="0" applyAlignment="1" pivotButton="0" quotePrefix="0" xfId="0">
      <alignment vertical="top" wrapText="1"/>
    </xf>
    <xf numFmtId="0" fontId="21" fillId="0" borderId="0" pivotButton="0" quotePrefix="0" xfId="0"/>
    <xf numFmtId="0" fontId="23"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C9A8"/>
      <rgbColor rgb="FF8C7355"/>
      <rgbColor rgb="FF9999FF"/>
      <rgbColor rgb="FF993366"/>
      <rgbColor rgb="FFF2EBDD"/>
      <rgbColor rgb="FFCCFFFF"/>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DCE9D5"/>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F7A3E"/>
      <rgbColor rgb="FF003300"/>
      <rgbColor rgb="FF1A1A1A"/>
      <rgbColor rgb="FF993300"/>
      <rgbColor rgb="FF993366"/>
      <rgbColor rgb="FF333399"/>
      <rgbColor rgb="FF1E462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showGridLines="0" topLeftCell="A21" zoomScaleNormal="100" workbookViewId="0">
      <selection activeCell="C33" sqref="C33:F33"/>
    </sheetView>
  </sheetViews>
  <sheetFormatPr baseColWidth="8" defaultColWidth="8.6640625" defaultRowHeight="14.4"/>
  <cols>
    <col width="44.33203125" customWidth="1" min="1" max="1"/>
    <col width="30" customWidth="1" min="2" max="6"/>
  </cols>
  <sheetData>
    <row r="1">
      <c r="A1" s="48" t="inlineStr">
        <is>
          <t>CCH Axcess Tax — 1040 Exception Remediation Workbook</t>
        </is>
      </c>
    </row>
    <row r="2"/>
    <row r="3"/>
    <row r="5">
      <c r="A5" s="49" t="inlineStr">
        <is>
          <t>IMPORTANT SCOPE NOTE: CCH Axcess does not publish a fixed, finite list of every diagnostic/exception code for the 1040 product. Diagnostics are generated dynamically per return (thousands of possible codes; they change with every release) based on the data entered. This workbook therefore does two things: (1) a Master Diagnostics Log (Tab 2) you use to record and resolve WHATEVER diagnostics your own returns actually generate, and (2) dedicated calculation tabs for the categories of exceptions that recur on nearly every moderately complex individual return and consistently require a manual calculation and/or an override entry in Axcess. Always confirm current-year diagnostic text and field locations against Review &gt; Diagnostics inside the return and the CCH Support knowledge base — the review interface itself confirms diagnostics can be signed off or must be cleared, and that some are interactive links straight to the input field (support.cch.com).</t>
        </is>
      </c>
    </row>
    <row r="6"/>
    <row r="7"/>
    <row r="8"/>
    <row r="10" ht="15.6" customHeight="1">
      <c r="A10" s="50" t="inlineStr">
        <is>
          <t>COLOR LEGEND</t>
        </is>
      </c>
    </row>
    <row r="11">
      <c r="A11" s="51" t="n"/>
      <c r="B11" s="96" t="n"/>
      <c r="C11" s="52" t="inlineStr">
        <is>
          <t>Dark green fill / white text</t>
        </is>
      </c>
      <c r="E11" s="53" t="inlineStr">
        <is>
          <t>Tab titles and column headers</t>
        </is>
      </c>
    </row>
    <row r="12">
      <c r="A12" s="54" t="n"/>
      <c r="B12" s="96" t="n"/>
      <c r="C12" s="52" t="inlineStr">
        <is>
          <t>Medium green fill / white text</t>
        </is>
      </c>
      <c r="E12" s="53" t="inlineStr">
        <is>
          <t>Section sub-headers within a tab</t>
        </is>
      </c>
    </row>
    <row r="13">
      <c r="A13" s="55" t="n"/>
      <c r="B13" s="96" t="n"/>
      <c r="C13" s="52" t="inlineStr">
        <is>
          <t>Tan fill / black text</t>
        </is>
      </c>
      <c r="E13" s="53" t="inlineStr">
        <is>
          <t>Instruction boxes — read before entering data</t>
        </is>
      </c>
    </row>
    <row r="14">
      <c r="A14" s="56" t="n"/>
      <c r="B14" s="96" t="n"/>
      <c r="C14" s="52" t="inlineStr">
        <is>
          <t>Pale tan fill</t>
        </is>
      </c>
      <c r="E14" s="53" t="inlineStr">
        <is>
          <t>Cells you TYPE INTO (inputs, overrides, notes)</t>
        </is>
      </c>
    </row>
    <row r="15">
      <c r="A15" s="57" t="n"/>
      <c r="B15" s="96" t="n"/>
      <c r="C15" s="52" t="inlineStr">
        <is>
          <t>White / pale green banding</t>
        </is>
      </c>
      <c r="E15" s="53" t="inlineStr">
        <is>
          <t>Calculated or reference rows — do not overtype formulas</t>
        </is>
      </c>
    </row>
    <row r="17" ht="15.6" customHeight="1">
      <c r="A17" s="50" t="inlineStr">
        <is>
          <t>WORKBOOK MAP — 24 TABS</t>
        </is>
      </c>
    </row>
    <row r="18">
      <c r="A18" s="58" t="inlineStr">
        <is>
          <t>2. Master Diagnostics Log</t>
        </is>
      </c>
      <c r="B18" s="96" t="n"/>
      <c r="C18" s="59" t="inlineStr">
        <is>
          <t>Universal tracker — log ANY Axcess diagnostic (any number), its category, whether it needs a manual calc/override, who fixed it, and sign-off status. Use on every return, every year.</t>
        </is>
      </c>
      <c r="D18" s="97" t="n"/>
      <c r="E18" s="97" t="n"/>
      <c r="F18" s="96" t="n"/>
    </row>
    <row r="19">
      <c r="A19" s="58" t="inlineStr">
        <is>
          <t>3. K-1 Basis Limitation</t>
        </is>
      </c>
      <c r="B19" s="96" t="n"/>
      <c r="C19" s="59" t="inlineStr">
        <is>
          <t>Computes each partner/shareholder's adjusted basis (Section 6 of the Passthrough worksheet) so the allowed loss you override matches Axcess's basis-limitation worksheet.</t>
        </is>
      </c>
      <c r="D19" s="97" t="n"/>
      <c r="E19" s="97" t="n"/>
      <c r="F19" s="96" t="n"/>
    </row>
    <row r="20">
      <c r="A20" s="58" t="inlineStr">
        <is>
          <t>4. At-Risk — Form 6198</t>
        </is>
      </c>
      <c r="B20" s="96" t="n"/>
      <c r="C20" s="59" t="inlineStr">
        <is>
          <t>Computes the at-risk amount for an activity so the allowed loss carried to Form 6198 (and, if needed, overridden) is supportable.</t>
        </is>
      </c>
      <c r="D20" s="97" t="n"/>
      <c r="E20" s="97" t="n"/>
      <c r="F20" s="96" t="n"/>
    </row>
    <row r="21">
      <c r="A21" s="58" t="inlineStr">
        <is>
          <t>5. Passive Activity — Form 8582</t>
        </is>
      </c>
      <c r="B21" s="96" t="n"/>
      <c r="C21" s="59" t="inlineStr">
        <is>
          <t>Computes allowed vs. suspended passive losses, including the $25,000 real-estate special allowance phase-out, to support Form 8582 overrides.</t>
        </is>
      </c>
      <c r="D21" s="97" t="n"/>
      <c r="E21" s="97" t="n"/>
      <c r="F21" s="96" t="n"/>
    </row>
    <row r="22">
      <c r="A22" s="58" t="inlineStr">
        <is>
          <t>6. Depreciation / 4562 Overrides</t>
        </is>
      </c>
      <c r="B22" s="96" t="n"/>
      <c r="C22" s="59" t="inlineStr">
        <is>
          <t>Reconciles federal vs. state/AMT depreciation (bonus, Sec. 179, luxury-auto limits) where Axcess will not auto-compute a state-conforming number.</t>
        </is>
      </c>
      <c r="D22" s="97" t="n"/>
      <c r="E22" s="97" t="n"/>
      <c r="F22" s="96" t="n"/>
    </row>
    <row r="23">
      <c r="A23" s="58" t="inlineStr">
        <is>
          <t>7. Multi-State Allocation</t>
        </is>
      </c>
      <c r="B23" s="96" t="n"/>
      <c r="C23" s="59" t="inlineStr">
        <is>
          <t>Builds each nonresident/part-year state's income allocation percentage and resident credit for double-taxed income, for states where Axcess needs a manual allocation override.</t>
        </is>
      </c>
      <c r="D23" s="97" t="n"/>
      <c r="E23" s="97" t="n"/>
      <c r="F23" s="96" t="n"/>
    </row>
    <row r="24">
      <c r="A24" s="58" t="inlineStr">
        <is>
          <t>8. Estimated Tax Penalty (2210)</t>
        </is>
      </c>
      <c r="B24" s="96" t="n"/>
      <c r="C24" s="59" t="inlineStr">
        <is>
          <t>Reconstructs the safe-harbor and annualized-income test so an underpayment-penalty override (or waiver) entered in Axcess is documented and defensible.</t>
        </is>
      </c>
      <c r="D24" s="97" t="n"/>
      <c r="E24" s="97" t="n"/>
      <c r="F24" s="96" t="n"/>
    </row>
    <row r="25">
      <c r="A25" s="58" t="inlineStr">
        <is>
          <t>9. AMT Adjustments (6251)</t>
        </is>
      </c>
      <c r="B25" s="96" t="n"/>
      <c r="C25" s="59" t="inlineStr">
        <is>
          <t>Recomputes AMT gain/loss and passive/at-risk adjustments (Form 6251 lines 2k–2n) for the 'Loss limits (Force)' override.</t>
        </is>
      </c>
      <c r="D25" s="97" t="n"/>
      <c r="E25" s="97" t="n"/>
      <c r="F25" s="96" t="n"/>
    </row>
    <row r="26">
      <c r="A26" s="58" t="inlineStr">
        <is>
          <t>10. Capital Loss Carryover</t>
        </is>
      </c>
      <c r="B26" s="96" t="n"/>
      <c r="C26" s="59" t="inlineStr">
        <is>
          <t>Reconciles prior-year capital loss carryover to Schedule D so any carryover override ties to the prior-year return.</t>
        </is>
      </c>
      <c r="D26" s="97" t="n"/>
      <c r="E26" s="97" t="n"/>
      <c r="F26" s="96" t="n"/>
    </row>
    <row r="28" ht="30" customHeight="1">
      <c r="A28" s="58" t="inlineStr">
        <is>
          <t>11. Hot Assets &amp; Mixing Bowl</t>
        </is>
      </c>
      <c r="B28" s="96" t="n"/>
      <c r="C28" s="59" t="inlineStr">
        <is>
          <t>Tracks §751(b) hot-asset disproportionate distributions, §704(c)(1)(B)/§737 mixing-bowl re-distributions within 7 years, and §752(b) debt-shift deemed distributions.</t>
        </is>
      </c>
      <c r="D28" s="97" t="n"/>
      <c r="E28" s="97" t="n"/>
      <c r="F28" s="96" t="n"/>
    </row>
    <row r="29" ht="30" customHeight="1">
      <c r="A29" s="58" t="inlineStr">
        <is>
          <t>12. S-Corp Dual Basis</t>
        </is>
      </c>
      <c r="B29" s="96" t="n"/>
      <c r="C29" s="59" t="inlineStr">
        <is>
          <t>Keeps S-corp stock basis and shareholder-loan (debt) basis as separate running balances so distributions above stock basis correctly trigger capital gain.</t>
        </is>
      </c>
      <c r="D29" s="97" t="n"/>
      <c r="E29" s="97" t="n"/>
      <c r="F29" s="96" t="n"/>
    </row>
    <row r="30" ht="30" customHeight="1">
      <c r="A30" s="58" t="inlineStr">
        <is>
          <t>13. Trust Termination PAL</t>
        </is>
      </c>
      <c r="B30" s="96" t="n"/>
      <c r="C30" s="59" t="inlineStr">
        <is>
          <t>Steps up a distributed asset's basis by suspended passive losses shown only in a trust's final K-1 footnotes.</t>
        </is>
      </c>
      <c r="D30" s="97" t="n"/>
      <c r="E30" s="97" t="n"/>
      <c r="F30" s="96" t="n"/>
    </row>
    <row r="31" ht="30" customHeight="1">
      <c r="A31" s="58" t="inlineStr">
        <is>
          <t>14. Bond Interest &amp; Premium</t>
        </is>
      </c>
      <c r="B31" s="96" t="n"/>
      <c r="C31" s="59" t="inlineStr">
        <is>
          <t>Backs out accrued interest paid to a bond seller and computes amortizable bond premium for Schedule B.</t>
        </is>
      </c>
      <c r="D31" s="97" t="n"/>
      <c r="E31" s="97" t="n"/>
      <c r="F31" s="96" t="n"/>
    </row>
    <row r="32" ht="30" customHeight="1">
      <c r="A32" s="58" t="inlineStr">
        <is>
          <t>15. Mortgage Interest Limit</t>
        </is>
      </c>
      <c r="B32" s="96" t="n"/>
      <c r="C32" s="59" t="inlineStr">
        <is>
          <t>Prorates Form 1098 interest to the $750K/$1M acquisition-debt ceiling using the average-balance method.</t>
        </is>
      </c>
      <c r="D32" s="97" t="n"/>
      <c r="E32" s="97" t="n"/>
      <c r="F32" s="96" t="n"/>
    </row>
    <row r="33" ht="30" customHeight="1">
      <c r="A33" s="58" t="inlineStr">
        <is>
          <t>16. Vacation Home Allocation</t>
        </is>
      </c>
      <c r="B33" s="96" t="n"/>
      <c r="C33" s="59" t="inlineStr">
        <is>
          <t>Splits vacation-home expenses between Schedule E and Schedule A by personal/rental days (Bolton vs. IRS method).</t>
        </is>
      </c>
      <c r="D33" s="97" t="n"/>
      <c r="E33" s="97" t="n"/>
      <c r="F33" s="96" t="n"/>
    </row>
    <row r="34" ht="30" customHeight="1">
      <c r="A34" s="58" t="inlineStr">
        <is>
          <t>17. Equity Comp &amp; Wash Sales</t>
        </is>
      </c>
      <c r="B34" s="96" t="n"/>
      <c r="C34" s="59" t="inlineStr">
        <is>
          <t>Corrects RSU/NQSO/ESPP cost basis to avoid double-taxing W-2 income, and tracks cross-account wash sales (including IRAs).</t>
        </is>
      </c>
      <c r="D34" s="97" t="n"/>
      <c r="E34" s="97" t="n"/>
      <c r="F34" s="96" t="n"/>
    </row>
    <row r="35" ht="30" customHeight="1">
      <c r="A35" s="58" t="inlineStr">
        <is>
          <t>18. NUA &amp; IRD Deduction</t>
        </is>
      </c>
      <c r="B35" s="96" t="n"/>
      <c r="C35" s="59" t="inlineStr">
        <is>
          <t>Computes the NUA ordinary-income/capital-gain split on 401(k) stock distributions, and the §691(c) IRD deduction for inherited IRAs.</t>
        </is>
      </c>
      <c r="D35" s="97" t="n"/>
      <c r="E35" s="97" t="n"/>
      <c r="F35" s="96" t="n"/>
    </row>
    <row r="36" ht="30" customHeight="1">
      <c r="A36" s="58" t="inlineStr">
        <is>
          <t>19. Crypto Income &amp; Basis</t>
        </is>
      </c>
      <c r="B36" s="96" t="n"/>
      <c r="C36" s="59" t="inlineStr">
        <is>
          <t>Provides a sub-ledger for airdrop, fork, and staking income plus basis tracking that Axcess cannot pull from any Form 1099.</t>
        </is>
      </c>
      <c r="D36" s="97" t="n"/>
      <c r="E36" s="97" t="n"/>
      <c r="F36" s="96" t="n"/>
    </row>
    <row r="37" ht="30" customHeight="1">
      <c r="A37" s="58" t="inlineStr">
        <is>
          <t>20. Insolvency (Form 982)</t>
        </is>
      </c>
      <c r="B37" s="96" t="n"/>
      <c r="C37" s="59" t="inlineStr">
        <is>
          <t>Tests insolvency immediately before a debt cancellation to support excluding Form 1099-C income under the insolvency exception.</t>
        </is>
      </c>
      <c r="D37" s="97" t="n"/>
      <c r="E37" s="97" t="n"/>
      <c r="F37" s="96" t="n"/>
    </row>
    <row r="38">
      <c r="A38" s="60" t="inlineStr">
        <is>
          <t>21. Involuntary Conv. 1033</t>
        </is>
      </c>
      <c r="B38" s="97" t="n"/>
      <c r="C38" s="61" t="inlineStr">
        <is>
          <t>Tracks the 2-/3-year replacement window for deferring gain on insurance/condemnation proceeds.</t>
        </is>
      </c>
      <c r="D38" s="97" t="n"/>
      <c r="E38" s="97" t="n"/>
      <c r="F38" s="97" t="n"/>
    </row>
    <row r="39">
      <c r="A39" s="60" t="inlineStr">
        <is>
          <t>22. Reorg, Liquidation, 1244</t>
        </is>
      </c>
      <c r="B39" s="97" t="n"/>
      <c r="C39" s="61" t="inlineStr">
        <is>
          <t>Merger boot (§356), corporate liquidation (§331), constructive sales (§1259), and §1244 ordinary-loss stock in one log.</t>
        </is>
      </c>
      <c r="D39" s="97" t="n"/>
      <c r="E39" s="97" t="n"/>
      <c r="F39" s="97" t="n"/>
    </row>
    <row r="40">
      <c r="A40" s="60" t="inlineStr">
        <is>
          <t>23. Multi-State W-2 Days</t>
        </is>
      </c>
      <c r="B40" s="97" t="n"/>
      <c r="C40" s="61" t="inlineStr">
        <is>
          <t>Allocates a mobile executive's W-2 wages across states by workday count.</t>
        </is>
      </c>
      <c r="D40" s="97" t="n"/>
      <c r="E40" s="97" t="n"/>
      <c r="F40" s="97" t="n"/>
    </row>
    <row r="41">
      <c r="A41" s="62" t="inlineStr">
        <is>
          <t>24. Rare-Event Log</t>
        </is>
      </c>
      <c r="B41" s="98" t="n"/>
      <c r="C41" s="61" t="inlineStr">
        <is>
          <t>Structured pointer/log for fact-intensive one-off events (trust throwback tax, foreign trust distributions) that need a dedicated off-system workpaper rather than a generic formula.</t>
        </is>
      </c>
      <c r="D41" s="97" t="n"/>
      <c r="E41" s="97" t="n"/>
      <c r="F41" s="97" t="n"/>
    </row>
    <row r="42" ht="15.6" customHeight="1">
      <c r="A42" s="16" t="inlineStr">
        <is>
          <t>KEY REFERENCES</t>
        </is>
      </c>
      <c r="B42" s="17" t="n"/>
      <c r="C42" s="17" t="n"/>
      <c r="D42" s="17" t="n"/>
    </row>
    <row r="43" ht="57" customHeight="1">
      <c r="A43" s="18" t="inlineStr">
        <is>
          <t>Reviewing/clearing/signing off Axcess diagnostics</t>
        </is>
      </c>
      <c r="B43" s="17" t="n"/>
      <c r="C43" s="17" t="n"/>
      <c r="D43" s="19" t="inlineStr">
        <is>
          <t>https://support.cch.com/kb/solution/How-do-I-review-clear-and-sign-off-on-diagnostics-in-CCH-Axcess-Tax-and-CCH-ProSystem-fx-Tax?language=en_US</t>
        </is>
      </c>
    </row>
    <row r="44" ht="26.4" customHeight="1">
      <c r="A44" s="18" t="inlineStr">
        <is>
          <t>Passthrough loss limitation flow (basis &gt; at-risk &gt; passive)</t>
        </is>
      </c>
      <c r="B44" s="17" t="n"/>
      <c r="C44" s="17" t="n"/>
      <c r="D44" s="19" t="inlineStr">
        <is>
          <t>https://support.cch.com/kb/solution/000056461</t>
        </is>
      </c>
    </row>
    <row r="45" ht="22.8" customHeight="1">
      <c r="A45" s="18" t="inlineStr">
        <is>
          <t>K-1 Basis Limitation worksheet data entry</t>
        </is>
      </c>
      <c r="B45" s="17" t="n"/>
      <c r="C45" s="17" t="n"/>
      <c r="D45" s="19" t="inlineStr">
        <is>
          <t>https://support.cch.com/kb/solution.aspx/sw11361</t>
        </is>
      </c>
    </row>
    <row r="46" ht="34.2" customHeight="1">
      <c r="A46" s="18" t="inlineStr">
        <is>
          <t>Federal e-file preparation &amp; disqualifying diagnostics</t>
        </is>
      </c>
      <c r="B46" s="17" t="n"/>
      <c r="C46" s="17" t="n"/>
      <c r="D46" s="19" t="inlineStr">
        <is>
          <t>https://z001download.cchaxcess.com/taxprodhelp/2020I/Worksheet/Content/Hlp18750.htm</t>
        </is>
      </c>
    </row>
    <row r="47">
      <c r="A47" s="18" t="inlineStr">
        <is>
          <t>IRS Form 8582 instructions (passive activity loss)</t>
        </is>
      </c>
      <c r="B47" s="17" t="n"/>
      <c r="C47" s="17" t="n"/>
      <c r="D47" s="19" t="inlineStr">
        <is>
          <t>https://www.irs.gov/instructions/i8582</t>
        </is>
      </c>
    </row>
    <row r="48">
      <c r="A48" s="18" t="inlineStr">
        <is>
          <t>IRS Pub. 925, Passive Activity and At-Risk Rules</t>
        </is>
      </c>
      <c r="B48" s="17" t="n"/>
      <c r="C48" s="17" t="n"/>
      <c r="D48" s="19" t="inlineStr">
        <is>
          <t>https://www.irs.gov/publications/p925</t>
        </is>
      </c>
    </row>
    <row r="49">
      <c r="A49" s="18" t="inlineStr">
        <is>
          <t>IRS Form 2210 instructions (underpayment penalty)</t>
        </is>
      </c>
      <c r="B49" s="17" t="n"/>
      <c r="C49" s="17" t="n"/>
      <c r="D49" s="19" t="inlineStr">
        <is>
          <t>https://www.irs.gov/instructions/i2210</t>
        </is>
      </c>
    </row>
    <row r="50">
      <c r="A50" s="18" t="inlineStr">
        <is>
          <t>IRS Form 6251 instructions (AMT)</t>
        </is>
      </c>
      <c r="B50" s="17" t="n"/>
      <c r="C50" s="17" t="n"/>
      <c r="D50" s="19" t="inlineStr">
        <is>
          <t>https://www.irs.gov/instructions/i6251</t>
        </is>
      </c>
    </row>
    <row r="51" ht="26.4" customHeight="1">
      <c r="A51" s="18" t="inlineStr">
        <is>
          <t>CCH Axcess Tax release notes archive (diagnostic changes by release)</t>
        </is>
      </c>
      <c r="B51" s="17" t="n"/>
      <c r="C51" s="17" t="n"/>
      <c r="D51" s="19" t="inlineStr">
        <is>
          <t>https://support.cch.com/updates/axcess/releasenotes.aspx?_gl=1</t>
        </is>
      </c>
    </row>
  </sheetData>
  <mergeCells count="65">
    <mergeCell ref="E12:F12"/>
    <mergeCell ref="A30:B30"/>
    <mergeCell ref="A24:B24"/>
    <mergeCell ref="C23:F23"/>
    <mergeCell ref="A15:B15"/>
    <mergeCell ref="C39:F39"/>
    <mergeCell ref="A5:F8"/>
    <mergeCell ref="C15:D15"/>
    <mergeCell ref="A11:B11"/>
    <mergeCell ref="C38:F38"/>
    <mergeCell ref="A36:B36"/>
    <mergeCell ref="C14:D14"/>
    <mergeCell ref="E14:F14"/>
    <mergeCell ref="C32:F32"/>
    <mergeCell ref="C19:F19"/>
    <mergeCell ref="C37:F37"/>
    <mergeCell ref="C28:F28"/>
    <mergeCell ref="C18:F18"/>
    <mergeCell ref="A25:B25"/>
    <mergeCell ref="A41:B41"/>
    <mergeCell ref="C34:F34"/>
    <mergeCell ref="A37:B37"/>
    <mergeCell ref="C30:F30"/>
    <mergeCell ref="A17:F17"/>
    <mergeCell ref="C33:F33"/>
    <mergeCell ref="E13:F13"/>
    <mergeCell ref="C24:F24"/>
    <mergeCell ref="A18:B18"/>
    <mergeCell ref="A12:B12"/>
    <mergeCell ref="A26:B26"/>
    <mergeCell ref="A21:B21"/>
    <mergeCell ref="C12:D12"/>
    <mergeCell ref="A10:F10"/>
    <mergeCell ref="E15:F15"/>
    <mergeCell ref="C35:F35"/>
    <mergeCell ref="A33:B33"/>
    <mergeCell ref="C26:F26"/>
    <mergeCell ref="C20:F20"/>
    <mergeCell ref="C11:D11"/>
    <mergeCell ref="E11:F11"/>
    <mergeCell ref="C29:F29"/>
    <mergeCell ref="A32:B32"/>
    <mergeCell ref="A14:B14"/>
    <mergeCell ref="C25:F25"/>
    <mergeCell ref="A23:B23"/>
    <mergeCell ref="C41:F41"/>
    <mergeCell ref="A22:B22"/>
    <mergeCell ref="A35:B35"/>
    <mergeCell ref="C22:F22"/>
    <mergeCell ref="C40:F40"/>
    <mergeCell ref="A20:B20"/>
    <mergeCell ref="A38:B38"/>
    <mergeCell ref="C31:F31"/>
    <mergeCell ref="A29:B29"/>
    <mergeCell ref="A19:B19"/>
    <mergeCell ref="A28:B28"/>
    <mergeCell ref="C21:F21"/>
    <mergeCell ref="A13:B13"/>
    <mergeCell ref="A1:F3"/>
    <mergeCell ref="C13:D13"/>
    <mergeCell ref="A40:B40"/>
    <mergeCell ref="A31:B31"/>
    <mergeCell ref="C36:F36"/>
    <mergeCell ref="A39:B39"/>
    <mergeCell ref="A34:B34"/>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26" customWidth="1" min="1" max="1"/>
    <col width="12" customWidth="1" min="2" max="2"/>
    <col width="34" customWidth="1" min="3" max="3"/>
    <col width="40" customWidth="1" min="4" max="4"/>
    <col width="110" customWidth="1" min="5" max="5"/>
  </cols>
  <sheetData>
    <row r="1">
      <c r="A1" s="99" t="inlineStr">
        <is>
          <t>Tab</t>
        </is>
      </c>
      <c r="B1" s="99" t="inlineStr">
        <is>
          <t>Cell(s)</t>
        </is>
      </c>
      <c r="C1" s="99" t="inlineStr">
        <is>
          <t>Original</t>
        </is>
      </c>
      <c r="D1" s="99" t="inlineStr">
        <is>
          <t>Corrected</t>
        </is>
      </c>
      <c r="E1" s="99" t="inlineStr">
        <is>
          <t>Why</t>
        </is>
      </c>
    </row>
    <row r="2">
      <c r="A2" s="100" t="inlineStr">
        <is>
          <t>5. Passive Activity (8582)</t>
        </is>
      </c>
      <c r="B2" s="100" t="inlineStr">
        <is>
          <t>E26</t>
        </is>
      </c>
      <c r="C2" s="100">
        <f>MAX(0,B23-B24)</f>
        <v/>
      </c>
      <c r="D2" s="100">
        <f>MAX(0,E23-E24)</f>
        <v/>
      </c>
      <c r="E2" s="100" t="inlineStr">
        <is>
          <t>Formulas pointed at B-column cells that are inside merged label ranges (A:D), so MAGI could never be entered and the tab always showed the full $25,000 allowance. MAGI is now entered in E23 (input cell).</t>
        </is>
      </c>
    </row>
    <row r="3">
      <c r="A3" s="100" t="inlineStr">
        <is>
          <t>5. Passive Activity (8582)</t>
        </is>
      </c>
      <c r="B3" s="100" t="inlineStr">
        <is>
          <t>E27</t>
        </is>
      </c>
      <c r="C3" s="100">
        <f>MIN(25000,ROUND(B26*0.5,0))</f>
        <v/>
      </c>
      <c r="D3" s="100">
        <f>MIN(25000,ROUND(E26*0.5,0))</f>
        <v/>
      </c>
      <c r="E3" s="100" t="inlineStr">
        <is>
          <t>Formulas pointed at B-column cells that are inside merged label ranges (A:D), so MAGI could never be entered and the tab always showed the full $25,000 allowance. MAGI is now entered in E23 (input cell).</t>
        </is>
      </c>
    </row>
    <row r="4">
      <c r="A4" s="100" t="inlineStr">
        <is>
          <t>5. Passive Activity (8582)</t>
        </is>
      </c>
      <c r="B4" s="100" t="inlineStr">
        <is>
          <t>E28</t>
        </is>
      </c>
      <c r="C4" s="100">
        <f>MAX(0,25000-B27)</f>
        <v/>
      </c>
      <c r="D4" s="100">
        <f>MAX(0,25000-E27)</f>
        <v/>
      </c>
      <c r="E4" s="100" t="inlineStr">
        <is>
          <t>Formulas pointed at B-column cells that are inside merged label ranges (A:D), so MAGI could never be entered and the tab always showed the full $25,000 allowance. MAGI is now entered in E23 (input cell).</t>
        </is>
      </c>
    </row>
    <row r="5">
      <c r="A5" s="100" t="inlineStr">
        <is>
          <t>8. Est. Tax Penalty (2210)</t>
        </is>
      </c>
      <c r="B5" s="100" t="inlineStr">
        <is>
          <t>E13</t>
        </is>
      </c>
      <c r="C5" s="100">
        <f>B12*0.9</f>
        <v/>
      </c>
      <c r="D5" s="100">
        <f>E12*0.9</f>
        <v/>
      </c>
      <c r="E5" s="100" t="inlineStr">
        <is>
          <t>Formulas referenced B12/B13/B14/B15/B16/B17/B18/B19 - all inside merged label ranges (A:D) - so every result was 0 and the tab always said 'YES - no penalty override needed'. Inputs are now E12 (CY tax), E14 (PY AGI), E15 (PY tax), E19 (payments).</t>
        </is>
      </c>
    </row>
    <row r="6">
      <c r="A6" s="100" t="inlineStr">
        <is>
          <t>8. Est. Tax Penalty (2210)</t>
        </is>
      </c>
      <c r="B6" s="100" t="inlineStr">
        <is>
          <t>E16</t>
        </is>
      </c>
      <c r="C6" s="100">
        <f>IF(B14&gt;150000,1.1,1)</f>
        <v/>
      </c>
      <c r="D6" s="100">
        <f>IF(E14&gt;150000,1.1,1)</f>
        <v/>
      </c>
      <c r="E6" s="100" t="inlineStr">
        <is>
          <t>Formulas referenced B12/B13/B14/B15/B16/B17/B18/B19 - all inside merged label ranges (A:D) - so every result was 0 and the tab always said 'YES - no penalty override needed'. Inputs are now E12 (CY tax), E14 (PY AGI), E15 (PY tax), E19 (payments). (MFS threshold is $75,000 - override E16 for MFS.)</t>
        </is>
      </c>
    </row>
    <row r="7">
      <c r="A7" s="100" t="inlineStr">
        <is>
          <t>8. Est. Tax Penalty (2210)</t>
        </is>
      </c>
      <c r="B7" s="100" t="inlineStr">
        <is>
          <t>E17</t>
        </is>
      </c>
      <c r="C7" s="100">
        <f>B15*B16</f>
        <v/>
      </c>
      <c r="D7" s="100">
        <f>E15*E16</f>
        <v/>
      </c>
      <c r="E7" s="100" t="inlineStr">
        <is>
          <t>Formulas referenced B12/B13/B14/B15/B16/B17/B18/B19 - all inside merged label ranges (A:D) - so every result was 0 and the tab always said 'YES - no penalty override needed'. Inputs are now E12 (CY tax), E14 (PY AGI), E15 (PY tax), E19 (payments).</t>
        </is>
      </c>
    </row>
    <row r="8">
      <c r="A8" s="100" t="inlineStr">
        <is>
          <t>8. Est. Tax Penalty (2210)</t>
        </is>
      </c>
      <c r="B8" s="100" t="inlineStr">
        <is>
          <t>E18</t>
        </is>
      </c>
      <c r="C8" s="100">
        <f>MIN(B13,B17)</f>
        <v/>
      </c>
      <c r="D8" s="100">
        <f>MIN(E13,E17)</f>
        <v/>
      </c>
      <c r="E8" s="100" t="inlineStr">
        <is>
          <t>Formulas referenced B12/B13/B14/B15/B16/B17/B18/B19 - all inside merged label ranges (A:D) - so every result was 0 and the tab always said 'YES - no penalty override needed'. Inputs are now E12 (CY tax), E14 (PY AGI), E15 (PY tax), E19 (payments).</t>
        </is>
      </c>
    </row>
    <row r="9">
      <c r="A9" s="100" t="inlineStr">
        <is>
          <t>8. Est. Tax Penalty (2210)</t>
        </is>
      </c>
      <c r="B9" s="100" t="inlineStr">
        <is>
          <t>E20</t>
        </is>
      </c>
      <c r="C9" s="100">
        <f>MAX(0,B18-B19)</f>
        <v/>
      </c>
      <c r="D9" s="100">
        <f>MAX(0,E18-E19)</f>
        <v/>
      </c>
      <c r="E9" s="100" t="inlineStr">
        <is>
          <t>Formulas referenced B12/B13/B14/B15/B16/B17/B18/B19 - all inside merged label ranges (A:D) - so every result was 0 and the tab always said 'YES - no penalty override needed'. Inputs are now E12 (CY tax), E14 (PY AGI), E15 (PY tax), E19 (payments).</t>
        </is>
      </c>
    </row>
    <row r="10">
      <c r="A10" s="100" t="inlineStr">
        <is>
          <t>8. Est. Tax Penalty (2210)</t>
        </is>
      </c>
      <c r="B10" s="100" t="inlineStr">
        <is>
          <t>E21</t>
        </is>
      </c>
      <c r="C10" s="100">
        <f>IF(B20=0,"YES — no penalty override needed","NO — compute penalty or consider annualized method")</f>
        <v/>
      </c>
      <c r="D10" s="100">
        <f>IF(E20=0,"YES — no penalty override needed","NO — compute penalty or consider annualized method")</f>
        <v/>
      </c>
      <c r="E10" s="100" t="inlineStr">
        <is>
          <t>Formulas referenced B12/B13/B14/B15/B16/B17/B18/B19 - all inside merged label ranges (A:D) - so every result was 0 and the tab always said 'YES - no penalty override needed'. Inputs are now E12 (CY tax), E14 (PY AGI), E15 (PY tax), E19 (payments).</t>
        </is>
      </c>
    </row>
    <row r="11">
      <c r="A11" s="100" t="inlineStr">
        <is>
          <t>8. Est. Tax Penalty (2210)</t>
        </is>
      </c>
      <c r="B11" s="100" t="inlineStr">
        <is>
          <t>B25</t>
        </is>
      </c>
      <c r="C11" s="100">
        <f>$B$18*0.25</f>
        <v/>
      </c>
      <c r="D11" s="100">
        <f>$E$18*0.25</f>
        <v/>
      </c>
      <c r="E11"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2">
      <c r="A12" s="100" t="inlineStr">
        <is>
          <t>8. Est. Tax Penalty (2210)</t>
        </is>
      </c>
      <c r="B12" s="100" t="inlineStr">
        <is>
          <t>B26</t>
        </is>
      </c>
      <c r="C12" s="100">
        <f>$B$18*0.25</f>
        <v/>
      </c>
      <c r="D12" s="100">
        <f>$E$18*0.25</f>
        <v/>
      </c>
      <c r="E12"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3">
      <c r="A13" s="100" t="inlineStr">
        <is>
          <t>8. Est. Tax Penalty (2210)</t>
        </is>
      </c>
      <c r="B13" s="100" t="inlineStr">
        <is>
          <t>B27</t>
        </is>
      </c>
      <c r="C13" s="100">
        <f>$B$18*0.25</f>
        <v/>
      </c>
      <c r="D13" s="100">
        <f>$E$18*0.25</f>
        <v/>
      </c>
      <c r="E13"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4">
      <c r="A14" s="100" t="inlineStr">
        <is>
          <t>8. Est. Tax Penalty (2210)</t>
        </is>
      </c>
      <c r="B14" s="100" t="inlineStr">
        <is>
          <t>B28</t>
        </is>
      </c>
      <c r="C14" s="100">
        <f>$B$18*0.25</f>
        <v/>
      </c>
      <c r="D14" s="100">
        <f>$E$18*0.25</f>
        <v/>
      </c>
      <c r="E14"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5">
      <c r="A15" s="100" t="inlineStr">
        <is>
          <t>10. Capital Loss Carryover</t>
        </is>
      </c>
      <c r="B15" s="100" t="inlineStr">
        <is>
          <t>D13</t>
        </is>
      </c>
      <c r="C15" s="100">
        <f>B11+B12</f>
        <v/>
      </c>
      <c r="D15" s="100">
        <f>D11+D12</f>
        <v/>
      </c>
      <c r="E15"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6">
      <c r="A16" s="100" t="inlineStr">
        <is>
          <t>10. Capital Loss Carryover</t>
        </is>
      </c>
      <c r="B16" s="100" t="inlineStr">
        <is>
          <t>D14</t>
        </is>
      </c>
      <c r="C16" s="100">
        <f>MIN(B11,B10)</f>
        <v/>
      </c>
      <c r="D16" s="100">
        <f>MIN(D11,D10)</f>
        <v/>
      </c>
      <c r="E16"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7">
      <c r="A17" s="100" t="inlineStr">
        <is>
          <t>10. Capital Loss Carryover</t>
        </is>
      </c>
      <c r="B17" s="100" t="inlineStr">
        <is>
          <t>D15</t>
        </is>
      </c>
      <c r="C17" s="100">
        <f>MAX(0,B10-B14)</f>
        <v/>
      </c>
      <c r="D17" s="100">
        <f>MAX(0,D10-D14)</f>
        <v/>
      </c>
      <c r="E17"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8">
      <c r="A18" s="100" t="inlineStr">
        <is>
          <t>10. Capital Loss Carryover</t>
        </is>
      </c>
      <c r="B18" s="100" t="inlineStr">
        <is>
          <t>D16</t>
        </is>
      </c>
      <c r="C18" s="100">
        <f>MAX(0,B11-B14)</f>
        <v/>
      </c>
      <c r="D18" s="100">
        <f>MAX(0,D11-D14)</f>
        <v/>
      </c>
      <c r="E18"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9">
      <c r="A19" s="100" t="inlineStr">
        <is>
          <t>10. Capital Loss Carryover</t>
        </is>
      </c>
      <c r="B19" s="100" t="inlineStr">
        <is>
          <t>D17</t>
        </is>
      </c>
      <c r="C19" s="100">
        <f>MAX(0,B12-B15)</f>
        <v/>
      </c>
      <c r="D19" s="100">
        <f>MAX(0,D12-D15)</f>
        <v/>
      </c>
      <c r="E19"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20">
      <c r="A20" s="100" t="inlineStr">
        <is>
          <t>7. Multi-State Allocation</t>
        </is>
      </c>
      <c r="B20" s="100" t="inlineStr">
        <is>
          <t>F12</t>
        </is>
      </c>
      <c r="C20" s="100">
        <f>MIN(E12,D12*B12)</f>
        <v/>
      </c>
      <c r="D20" s="100">
        <f>MIN(E12,G12*D12)</f>
        <v/>
      </c>
      <c r="E20" s="100" t="inlineStr">
        <is>
          <t>Credit limit was MIN(tax paid, alloc % x total federal income) - that is state-source INCOME, not tax. Added input column G (resident-state tax before credit); limit = MIN(tax paid, G x alloc %).</t>
        </is>
      </c>
    </row>
    <row r="21">
      <c r="A21" s="100" t="inlineStr">
        <is>
          <t>7. Multi-State Allocation</t>
        </is>
      </c>
      <c r="B21" s="100" t="inlineStr">
        <is>
          <t>F13</t>
        </is>
      </c>
      <c r="C21" s="100">
        <f>MIN(E13,D13*B13)</f>
        <v/>
      </c>
      <c r="D21" s="100">
        <f>MIN(E13,G13*D13)</f>
        <v/>
      </c>
      <c r="E21" s="100" t="inlineStr">
        <is>
          <t>Credit limit was MIN(tax paid, alloc % x total federal income) - that is state-source INCOME, not tax. Added input column G (resident-state tax before credit); limit = MIN(tax paid, G x alloc %).</t>
        </is>
      </c>
    </row>
    <row r="22">
      <c r="A22" s="100" t="inlineStr">
        <is>
          <t>7. Multi-State Allocation</t>
        </is>
      </c>
      <c r="B22" s="100" t="inlineStr">
        <is>
          <t>F14</t>
        </is>
      </c>
      <c r="C22" s="100">
        <f>MIN(E14,D14*B14)</f>
        <v/>
      </c>
      <c r="D22" s="100">
        <f>MIN(E14,G14*D14)</f>
        <v/>
      </c>
      <c r="E22" s="100" t="inlineStr">
        <is>
          <t>Credit limit was MIN(tax paid, alloc % x total federal income) - that is state-source INCOME, not tax. Added input column G (resident-state tax before credit); limit = MIN(tax paid, G x alloc %).</t>
        </is>
      </c>
    </row>
    <row r="23">
      <c r="A23" s="100" t="inlineStr">
        <is>
          <t>7. Multi-State Allocation</t>
        </is>
      </c>
      <c r="B23" s="100" t="inlineStr">
        <is>
          <t>F15</t>
        </is>
      </c>
      <c r="C23" s="100">
        <f>MIN(E15,D15*B15)</f>
        <v/>
      </c>
      <c r="D23" s="100">
        <f>MIN(E15,G15*D15)</f>
        <v/>
      </c>
      <c r="E23" s="100" t="inlineStr">
        <is>
          <t>Credit limit was MIN(tax paid, alloc % x total federal income) - that is state-source INCOME, not tax. Added input column G (resident-state tax before credit); limit = MIN(tax paid, G x alloc %).</t>
        </is>
      </c>
    </row>
    <row r="24">
      <c r="A24" s="100" t="inlineStr">
        <is>
          <t>7. Multi-State Allocation</t>
        </is>
      </c>
      <c r="B24" s="100" t="inlineStr">
        <is>
          <t>F16</t>
        </is>
      </c>
      <c r="C24" s="100">
        <f>MIN(E16,D16*B16)</f>
        <v/>
      </c>
      <c r="D24" s="100">
        <f>MIN(E16,G16*D16)</f>
        <v/>
      </c>
      <c r="E24" s="100" t="inlineStr">
        <is>
          <t>Credit limit was MIN(tax paid, alloc % x total federal income) - that is state-source INCOME, not tax. Added input column G (resident-state tax before credit); limit = MIN(tax paid, G x alloc %).</t>
        </is>
      </c>
    </row>
    <row r="25">
      <c r="A25" s="100" t="inlineStr">
        <is>
          <t>7. Multi-State Allocation</t>
        </is>
      </c>
      <c r="B25" s="100" t="inlineStr">
        <is>
          <t>F17</t>
        </is>
      </c>
      <c r="C25" s="100">
        <f>MIN(E17,D17*B17)</f>
        <v/>
      </c>
      <c r="D25" s="100">
        <f>MIN(E17,G17*D17)</f>
        <v/>
      </c>
      <c r="E25" s="100" t="inlineStr">
        <is>
          <t>Credit limit was MIN(tax paid, alloc % x total federal income) - that is state-source INCOME, not tax. Added input column G (resident-state tax before credit); limit = MIN(tax paid, G x alloc %).</t>
        </is>
      </c>
    </row>
    <row r="26">
      <c r="A26" s="100" t="inlineStr">
        <is>
          <t>7. Multi-State Allocation</t>
        </is>
      </c>
      <c r="B26" s="100" t="inlineStr">
        <is>
          <t>F18</t>
        </is>
      </c>
      <c r="C26" s="100">
        <f>MIN(E18,D18*B18)</f>
        <v/>
      </c>
      <c r="D26" s="100">
        <f>MIN(E18,G18*D18)</f>
        <v/>
      </c>
      <c r="E26" s="100" t="inlineStr">
        <is>
          <t>Credit limit was MIN(tax paid, alloc % x total federal income) - that is state-source INCOME, not tax. Added input column G (resident-state tax before credit); limit = MIN(tax paid, G x alloc %).</t>
        </is>
      </c>
    </row>
    <row r="27">
      <c r="A27" s="100" t="inlineStr">
        <is>
          <t>7. Multi-State Allocation</t>
        </is>
      </c>
      <c r="B27" s="100" t="inlineStr">
        <is>
          <t>F19</t>
        </is>
      </c>
      <c r="C27" s="100">
        <f>MIN(E19,D19*B19)</f>
        <v/>
      </c>
      <c r="D27" s="100">
        <f>MIN(E19,G19*D19)</f>
        <v/>
      </c>
      <c r="E27" s="100" t="inlineStr">
        <is>
          <t>Credit limit was MIN(tax paid, alloc % x total federal income) - that is state-source INCOME, not tax. Added input column G (resident-state tax before credit); limit = MIN(tax paid, G x alloc %).</t>
        </is>
      </c>
    </row>
    <row r="28">
      <c r="A28" s="100" t="inlineStr">
        <is>
          <t>12. S-Corp Dual Basis</t>
        </is>
      </c>
      <c r="B28" s="100" t="inlineStr">
        <is>
          <t>F15</t>
        </is>
      </c>
      <c r="C28" s="100">
        <f>MAX(0,E15-(B15+D15))</f>
        <v/>
      </c>
      <c r="D28" s="100">
        <f>MAX(0,E15-(B15+MAX(0,D15)))</f>
        <v/>
      </c>
      <c r="E28"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29">
      <c r="A29" s="100" t="inlineStr">
        <is>
          <t>12. S-Corp Dual Basis</t>
        </is>
      </c>
      <c r="B29" s="100" t="inlineStr">
        <is>
          <t>F16</t>
        </is>
      </c>
      <c r="C29" s="100">
        <f>MAX(0,E16-(B16+D16))</f>
        <v/>
      </c>
      <c r="D29" s="100">
        <f>MAX(0,E16-(B16+MAX(0,D16)))</f>
        <v/>
      </c>
      <c r="E29"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0">
      <c r="A30" s="100" t="inlineStr">
        <is>
          <t>12. S-Corp Dual Basis</t>
        </is>
      </c>
      <c r="B30" s="100" t="inlineStr">
        <is>
          <t>F17</t>
        </is>
      </c>
      <c r="C30" s="100">
        <f>MAX(0,E17-(B17+D17))</f>
        <v/>
      </c>
      <c r="D30" s="100">
        <f>MAX(0,E17-(B17+MAX(0,D17)))</f>
        <v/>
      </c>
      <c r="E30"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1">
      <c r="A31" s="100" t="inlineStr">
        <is>
          <t>12. S-Corp Dual Basis</t>
        </is>
      </c>
      <c r="B31" s="100" t="inlineStr">
        <is>
          <t>F18</t>
        </is>
      </c>
      <c r="C31" s="100">
        <f>MAX(0,E18-(B18+D18))</f>
        <v/>
      </c>
      <c r="D31" s="100">
        <f>MAX(0,E18-(B18+MAX(0,D18)))</f>
        <v/>
      </c>
      <c r="E31"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2">
      <c r="A32" s="100" t="inlineStr">
        <is>
          <t>12. S-Corp Dual Basis</t>
        </is>
      </c>
      <c r="B32" s="100" t="inlineStr">
        <is>
          <t>F19</t>
        </is>
      </c>
      <c r="C32" s="100">
        <f>MAX(0,E19-(B19+D19))</f>
        <v/>
      </c>
      <c r="D32" s="100">
        <f>MAX(0,E19-(B19+MAX(0,D19)))</f>
        <v/>
      </c>
      <c r="E32"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3">
      <c r="A33" s="100" t="inlineStr">
        <is>
          <t>12. S-Corp Dual Basis</t>
        </is>
      </c>
      <c r="B33" s="100" t="inlineStr">
        <is>
          <t>F20</t>
        </is>
      </c>
      <c r="C33" s="100">
        <f>MAX(0,E20-(B20+D20))</f>
        <v/>
      </c>
      <c r="D33" s="100">
        <f>MAX(0,E20-(B20+MAX(0,D20)))</f>
        <v/>
      </c>
      <c r="E33"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4">
      <c r="A34" s="100" t="inlineStr">
        <is>
          <t>12. S-Corp Dual Basis</t>
        </is>
      </c>
      <c r="B34" s="100" t="inlineStr">
        <is>
          <t>F21</t>
        </is>
      </c>
      <c r="C34" s="100">
        <f>MAX(0,E21-(B21+D21))</f>
        <v/>
      </c>
      <c r="D34" s="100">
        <f>MAX(0,E21-(B21+MAX(0,D21)))</f>
        <v/>
      </c>
      <c r="E34"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5">
      <c r="A35" s="100" t="inlineStr">
        <is>
          <t>12. S-Corp Dual Basis</t>
        </is>
      </c>
      <c r="B35" s="100" t="inlineStr">
        <is>
          <t>F22</t>
        </is>
      </c>
      <c r="C35" s="100">
        <f>MAX(0,E22-(B22+D22))</f>
        <v/>
      </c>
      <c r="D35" s="100">
        <f>MAX(0,E22-(B22+MAX(0,D22)))</f>
        <v/>
      </c>
      <c r="E35"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6">
      <c r="A36" s="100" t="inlineStr">
        <is>
          <t>21. Involuntary Conv. 1033</t>
        </is>
      </c>
      <c r="B36" s="100" t="inlineStr">
        <is>
          <t>I12</t>
        </is>
      </c>
      <c r="C36" s="100">
        <f>IF(AND(B12&lt;&gt;"",E12&lt;&gt;""),B12+E12*365,"")</f>
        <v/>
      </c>
      <c r="D36" s="100">
        <f>IF(AND(B12&lt;&gt;"",E12&lt;&gt;""),DATE(YEAR(B12)+E12,12,31),"")</f>
        <v/>
      </c>
      <c r="E36"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7">
      <c r="A37" s="100" t="inlineStr">
        <is>
          <t>21. Involuntary Conv. 1033</t>
        </is>
      </c>
      <c r="B37" s="100" t="inlineStr">
        <is>
          <t>I13</t>
        </is>
      </c>
      <c r="C37" s="100">
        <f>IF(AND(B13&lt;&gt;"",E13&lt;&gt;""),B13+E13*365,"")</f>
        <v/>
      </c>
      <c r="D37" s="100">
        <f>IF(AND(B13&lt;&gt;"",E13&lt;&gt;""),DATE(YEAR(B13)+E13,12,31),"")</f>
        <v/>
      </c>
      <c r="E37"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8">
      <c r="A38" s="100" t="inlineStr">
        <is>
          <t>21. Involuntary Conv. 1033</t>
        </is>
      </c>
      <c r="B38" s="100" t="inlineStr">
        <is>
          <t>I14</t>
        </is>
      </c>
      <c r="C38" s="100">
        <f>IF(AND(B14&lt;&gt;"",E14&lt;&gt;""),B14+E14*365,"")</f>
        <v/>
      </c>
      <c r="D38" s="100">
        <f>IF(AND(B14&lt;&gt;"",E14&lt;&gt;""),DATE(YEAR(B14)+E14,12,31),"")</f>
        <v/>
      </c>
      <c r="E38"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9">
      <c r="A39" s="100" t="inlineStr">
        <is>
          <t>21. Involuntary Conv. 1033</t>
        </is>
      </c>
      <c r="B39" s="100" t="inlineStr">
        <is>
          <t>I15</t>
        </is>
      </c>
      <c r="C39" s="100">
        <f>IF(AND(B15&lt;&gt;"",E15&lt;&gt;""),B15+E15*365,"")</f>
        <v/>
      </c>
      <c r="D39" s="100">
        <f>IF(AND(B15&lt;&gt;"",E15&lt;&gt;""),DATE(YEAR(B15)+E15,12,31),"")</f>
        <v/>
      </c>
      <c r="E39"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0">
      <c r="A40" s="100" t="inlineStr">
        <is>
          <t>21. Involuntary Conv. 1033</t>
        </is>
      </c>
      <c r="B40" s="100" t="inlineStr">
        <is>
          <t>I16</t>
        </is>
      </c>
      <c r="C40" s="100">
        <f>IF(AND(B16&lt;&gt;"",E16&lt;&gt;""),B16+E16*365,"")</f>
        <v/>
      </c>
      <c r="D40" s="100">
        <f>IF(AND(B16&lt;&gt;"",E16&lt;&gt;""),DATE(YEAR(B16)+E16,12,31),"")</f>
        <v/>
      </c>
      <c r="E40"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1">
      <c r="A41" s="100" t="inlineStr">
        <is>
          <t>21. Involuntary Conv. 1033</t>
        </is>
      </c>
      <c r="B41" s="100" t="inlineStr">
        <is>
          <t>I17</t>
        </is>
      </c>
      <c r="C41" s="100">
        <f>IF(AND(B17&lt;&gt;"",E17&lt;&gt;""),B17+E17*365,"")</f>
        <v/>
      </c>
      <c r="D41" s="100">
        <f>IF(AND(B17&lt;&gt;"",E17&lt;&gt;""),DATE(YEAR(B17)+E17,12,31),"")</f>
        <v/>
      </c>
      <c r="E41"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2">
      <c r="A42" s="100" t="inlineStr">
        <is>
          <t>13. Trust Termination PAL</t>
        </is>
      </c>
      <c r="B42" s="100" t="inlineStr">
        <is>
          <t>A1</t>
        </is>
      </c>
      <c r="C42" s="100" t="inlineStr">
        <is>
          <t>...(§643(e) / §469(g))</t>
        </is>
      </c>
      <c r="D42" s="100" t="inlineStr">
        <is>
          <t>TRUST TERMINATION — SUSPENDED PASSIVE LOSS BASIS STEP-UP TRACKER (§469(j)(12) / §643(e))</t>
        </is>
      </c>
      <c r="E42" s="100" t="inlineStr">
        <is>
          <t>A trust's distribution of a passive activity is governed by IRC 469(j)(12) (suspended losses added to basis, not deductible); 469(g) covers fully taxable dispositions, where losses ARE deductible.</t>
        </is>
      </c>
    </row>
    <row r="43">
      <c r="A43" s="100" t="inlineStr">
        <is>
          <t>18. NUA &amp; IRD Deduction</t>
        </is>
      </c>
      <c r="B43" s="100" t="inlineStr">
        <is>
          <t>E11:E16</t>
        </is>
      </c>
      <c r="C43" s="100">
        <f>B-C (all rows)</f>
        <v/>
      </c>
      <c r="D43" s="100" t="inlineStr">
        <is>
          <t>unchanged for NUA rows; IRD rows are overwritten with a value</t>
        </is>
      </c>
      <c r="E43" s="100" t="inlineStr">
        <is>
          <t>The 691(c) deduction is the federal estate tax WITH the IRD minus estate tax WITHOUT it, times the beneficiary's share of the IRD received this year - it cannot be computed as IRA value - estate tax. Compute it off-tab (or in Notes) and type the result into column E for IRD rows.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4" customWidth="1" min="1" max="1"/>
    <col width="26" customWidth="1" min="2" max="2"/>
    <col width="36" customWidth="1" min="3" max="3"/>
    <col width="48" customWidth="1" min="4" max="4"/>
    <col width="60" customWidth="1" min="5" max="5"/>
    <col width="34" customWidth="1" min="6" max="6"/>
    <col width="26" customWidth="1" min="7" max="7"/>
    <col width="16" customWidth="1" min="8" max="8"/>
  </cols>
  <sheetData>
    <row r="1">
      <c r="A1" s="102" t="inlineStr">
        <is>
          <t>EVG1009 - Harold Jensen (and Eleanor Jensen, deceased) - Intuit ProConnect Tax handling of the same exceptions (synthetic training data)</t>
        </is>
      </c>
    </row>
    <row r="2">
      <c r="A2" t="inlineStr">
        <is>
          <t>ProConnect field names/screens follow Intuit help articles where cited; confirm against the current release before relying on a screen path. Same tax answer either way - only the mechanics differ.</t>
        </is>
      </c>
    </row>
    <row r="3">
      <c r="A3" s="99" t="inlineStr">
        <is>
          <t>ID</t>
        </is>
      </c>
      <c r="B3" s="99" t="inlineStr">
        <is>
          <t>Workbook tab (Axcess equivalent)</t>
        </is>
      </c>
      <c r="C3" s="99" t="inlineStr">
        <is>
          <t>Exception</t>
        </is>
      </c>
      <c r="D3" s="99" t="inlineStr">
        <is>
          <t>ProConnect default behavior</t>
        </is>
      </c>
      <c r="E3" s="99" t="inlineStr">
        <is>
          <t>ProConnect fix / input</t>
        </is>
      </c>
      <c r="F3" s="99" t="inlineStr">
        <is>
          <t>ProConnect reference</t>
        </is>
      </c>
      <c r="G3" s="99" t="inlineStr">
        <is>
          <t>E-file impact</t>
        </is>
      </c>
      <c r="H3" s="99" t="inlineStr">
        <is>
          <t>Override / calc amount</t>
        </is>
      </c>
    </row>
    <row r="4">
      <c r="A4" s="100" t="inlineStr">
        <is>
          <t>EVG1009-SX1</t>
        </is>
      </c>
      <c r="B4" s="100" t="inlineStr">
        <is>
          <t>24. Rare-Event Log</t>
        </is>
      </c>
      <c r="C4" s="100" t="inlineStr">
        <is>
          <t>Inherited community-property securities - 1099-B shows original cost; noncovered lots no basis</t>
        </is>
      </c>
      <c r="D4" s="100" t="inlineStr">
        <is>
          <t>Same - ProConnect computes gain from the basis entered on the Dispositions screen.</t>
        </is>
      </c>
      <c r="E4" s="100" t="inlineStr">
        <is>
          <t>Dispositions (Schedule D/4797) screen: enter DOD basis per lot, code B adjustment for the covered MSFT lot, long-term / inherited acquisition designation (field per current release - verify).</t>
        </is>
      </c>
      <c r="F4" s="100" t="inlineStr">
        <is>
          <t>Field per current release - verify</t>
        </is>
      </c>
      <c r="G4" s="100" t="inlineStr">
        <is>
          <t>None</t>
        </is>
      </c>
      <c r="H4" s="100" t="n">
        <v>11387</v>
      </c>
    </row>
    <row r="5">
      <c r="A5" s="100" t="inlineStr">
        <is>
          <t>EVG1009-SX2</t>
        </is>
      </c>
      <c r="B5" s="100" t="inlineStr">
        <is>
          <t>24. Rare-Event Log</t>
        </is>
      </c>
      <c r="C5" s="100" t="inlineStr">
        <is>
          <t>Sale of the marital home (1099-S) - DOD appraisal basis and sec. 121 exclusion, code H</t>
        </is>
      </c>
      <c r="D5" s="100" t="inlineStr">
        <is>
          <t>Same - basis and exclusion are computed from the inputs on the home-sale worksheet.</t>
        </is>
      </c>
      <c r="E5" s="100" t="inlineStr">
        <is>
          <t>Sale of home (Form 8949 code H) inputs: proceeds $685,000, expenses $51,773, basis $615,000, exclusion applies (screen/field per current release - verify).</t>
        </is>
      </c>
      <c r="F5" s="100" t="inlineStr">
        <is>
          <t>Screen/field per current release - verify</t>
        </is>
      </c>
      <c r="G5" s="100" t="inlineStr">
        <is>
          <t>None</t>
        </is>
      </c>
      <c r="H5" s="100" t="n">
        <v>-18227</v>
      </c>
    </row>
    <row r="6">
      <c r="A6" s="100" t="inlineStr">
        <is>
          <t>EVG1009-SX3</t>
        </is>
      </c>
      <c r="B6" s="100" t="inlineStr">
        <is>
          <t>2. Diagnostics Log</t>
        </is>
      </c>
      <c r="C6" s="100" t="inlineStr">
        <is>
          <t>Vanguard spousal 'transfer out' AutoFlowed as an IRA distribution</t>
        </is>
      </c>
      <c r="D6" s="100" t="inlineStr">
        <is>
          <t>No AutoFlow equivalent in the firm's ProConnect workflow; the error occurs only if the statement is keyed.</t>
        </is>
      </c>
      <c r="E6" s="100" t="inlineStr">
        <is>
          <t>Enter only actual 1099-Rs; nothing for the transfer.</t>
        </is>
      </c>
      <c r="F6" s="100" t="inlineStr"/>
      <c r="G6" s="100" t="inlineStr">
        <is>
          <t>None</t>
        </is>
      </c>
      <c r="H6" s="100" t="n">
        <v>0</v>
      </c>
    </row>
    <row r="7">
      <c r="A7" s="100" t="inlineStr">
        <is>
          <t>EVG1009-SX4</t>
        </is>
      </c>
      <c r="B7" s="100" t="inlineStr">
        <is>
          <t>2. Diagnostics Log</t>
        </is>
      </c>
      <c r="C7" s="100" t="inlineStr">
        <is>
          <t>Year-of-death filing status: MFJ, not 'qualifying widower' (organizer + procedure wording)</t>
        </is>
      </c>
      <c r="D7" s="100" t="inlineStr">
        <is>
          <t>Same - filing status is an input; enter the spouse's date of death on the General/taxpayer information screen.</t>
        </is>
      </c>
      <c r="E7" s="100" t="inlineStr">
        <is>
          <t>General &gt; Filing Status: MFJ; spouse date of death 08/09/2025 (screen/field per current release - verify).</t>
        </is>
      </c>
      <c r="F7" s="100" t="inlineStr">
        <is>
          <t>Screen/field per current release - verify</t>
        </is>
      </c>
      <c r="G7" s="100" t="inlineStr">
        <is>
          <t>None (MFJ with deceased spouse e-files normally)</t>
        </is>
      </c>
      <c r="H7" s="100" t="n">
        <v>0</v>
      </c>
    </row>
    <row r="8">
      <c r="A8" s="100" t="inlineStr">
        <is>
          <t>EVG1009-SX5</t>
        </is>
      </c>
      <c r="B8" s="100" t="inlineStr">
        <is>
          <t>2. Diagnostics Log</t>
        </is>
      </c>
      <c r="C8" s="100" t="inlineStr">
        <is>
          <t>Schedule 1-A senior deduction for the deceased spouse</t>
        </is>
      </c>
      <c r="D8" s="100" t="inlineStr">
        <is>
          <t>Same check - confirm both spouses are counted when a date of death is entered.</t>
        </is>
      </c>
      <c r="E8" s="100" t="inlineStr">
        <is>
          <t>Verify Schedule 1-A Part V shows two qualifying individuals; override if needed and document (field per current release - verify).</t>
        </is>
      </c>
      <c r="F8" s="100" t="inlineStr">
        <is>
          <t>Intuit help: 'Using overrides and adjustments in ProConnect Tax' (document overrides)</t>
        </is>
      </c>
      <c r="G8" s="100" t="inlineStr">
        <is>
          <t>None</t>
        </is>
      </c>
      <c r="H8" s="100" t="n">
        <v>12000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3"/>
  <sheetViews>
    <sheetView showGridLines="0" zoomScaleNormal="100" workbookViewId="0">
      <pane ySplit="13" topLeftCell="A14" activePane="bottomLeft" state="frozen"/>
      <selection pane="bottomLeft" activeCell="A1" sqref="A1"/>
    </sheetView>
  </sheetViews>
  <sheetFormatPr baseColWidth="8" defaultColWidth="8.6640625" defaultRowHeight="14.4"/>
  <cols>
    <col width="16" customWidth="1" min="1" max="1"/>
    <col width="10" customWidth="1" min="2" max="2"/>
    <col width="12" customWidth="1" min="3" max="3"/>
    <col width="34" customWidth="1" min="4" max="4"/>
    <col width="26" customWidth="1" min="5" max="5"/>
    <col width="14" customWidth="1" min="6" max="8"/>
    <col width="12" customWidth="1" min="9" max="11"/>
    <col width="26" customWidth="1" min="12" max="12"/>
  </cols>
  <sheetData>
    <row r="1" ht="25.5" customHeight="1">
      <c r="A1" s="64" t="inlineStr">
        <is>
          <t>MASTER DIAGNOSTICS LOG</t>
        </is>
      </c>
    </row>
    <row r="2" ht="19.5" customHeight="1">
      <c r="A2" s="65" t="inlineStr">
        <is>
          <t>HOW TO USE THIS TAB</t>
        </is>
      </c>
    </row>
    <row r="3" ht="15.75" customHeight="1">
      <c r="A3" s="66" t="inlineStr">
        <is>
          <t>Log every open diagnostic Axcess produces on Review &gt; Diagnostics for this return, one row per diagnostic.</t>
        </is>
      </c>
    </row>
    <row r="4" ht="25.5" customHeight="1">
      <c r="A4" s="67" t="inlineStr">
        <is>
          <t>1) Calculate the return, open Review &gt; Diagnostics, and copy each diagnostic's number and text into columns B–C.</t>
        </is>
      </c>
    </row>
    <row r="5" ht="25.5" customHeight="1">
      <c r="A5" s="67" t="inlineStr">
        <is>
          <t>2) In 'Category', classify it using the dropdown (Basis/At-Risk/Passive, Depreciation, State Allocation, Est. Tax Penalty, AMT, Capital Loss, E-file Disqualifying, Other) — this tells you which numbered tab to work the calc on.</t>
        </is>
      </c>
    </row>
    <row r="6" ht="25.5" customHeight="1">
      <c r="A6" s="67" t="inlineStr">
        <is>
          <t>3) 'Manual Calc Required?' — mark Yes if the diagnostic cannot be cleared by a simple data-entry fix and instead needs a supporting calculation before you enter an override (use Tabs 3–10 for the common categories).</t>
        </is>
      </c>
    </row>
    <row r="7" ht="25.5" customHeight="1">
      <c r="A7" s="67" t="inlineStr">
        <is>
          <t>4) 'Override Field / Location' — record the exact worksheet &gt; section &gt; line where the override was entered, so a reviewer can find it without re-deriving it.</t>
        </is>
      </c>
    </row>
    <row r="8" ht="25.5" customHeight="1">
      <c r="A8" s="67" t="inlineStr">
        <is>
          <t>5) Diagnostics with a status of 'Disqualifying' block e-filing until cleared — resolve those first. Non-severe diagnostics can be signed off in Axcess (Review tab) once documented here.</t>
        </is>
      </c>
    </row>
    <row r="9" ht="25.5" customHeight="1">
      <c r="A9" s="67" t="inlineStr">
        <is>
          <t>6) Re-calculate the return after each fix and confirm the diagnostic dropped off the report before marking 'Cleared'.</t>
        </is>
      </c>
    </row>
    <row r="10" ht="13.5" customHeight="1">
      <c r="A10" s="68" t="inlineStr">
        <is>
          <t>Source: How to review/clear/sign off diagnostics in CCH Axcess Tax — support.cch.com/kb/solution/How-do-I-review-clear-and-sign-off-on-diagnostics-in-CCH-Axcess-Tax-and-CCH-ProSystem-fx-Tax</t>
        </is>
      </c>
    </row>
    <row r="11" ht="13.5" customHeight="1">
      <c r="A11" s="68" t="inlineStr">
        <is>
          <t>Source: Reviewing the Diagnostics Report — z001download.cchaxcess.com/pfxbrowserhelp/TaxHelp/Content/Tax%20Returns/TR_Diagnostics.htm</t>
        </is>
      </c>
    </row>
    <row r="13" ht="30" customHeight="1">
      <c r="A13" s="2" t="inlineStr">
        <is>
          <t>Client / Return ID</t>
        </is>
      </c>
      <c r="B13" s="2" t="inlineStr">
        <is>
          <t>Tax Year</t>
        </is>
      </c>
      <c r="C13" s="2" t="inlineStr">
        <is>
          <t>Diagnostic #</t>
        </is>
      </c>
      <c r="D13" s="2" t="inlineStr">
        <is>
          <t>Diagnostic Text (from Axcess)</t>
        </is>
      </c>
      <c r="E13" s="2" t="inlineStr">
        <is>
          <t>Category</t>
        </is>
      </c>
      <c r="F13" s="2" t="inlineStr">
        <is>
          <t>Manual Calc Required?</t>
        </is>
      </c>
      <c r="G13" s="2" t="inlineStr">
        <is>
          <t>Override Field / Location</t>
        </is>
      </c>
      <c r="H13" s="2" t="inlineStr">
        <is>
          <t>Calculated Override Amount</t>
        </is>
      </c>
      <c r="I13" s="2" t="inlineStr">
        <is>
          <t>Status</t>
        </is>
      </c>
      <c r="J13" s="2" t="inlineStr">
        <is>
          <t>Prepared By</t>
        </is>
      </c>
      <c r="K13" s="2" t="inlineStr">
        <is>
          <t>Reviewed By</t>
        </is>
      </c>
      <c r="L13" s="2" t="inlineStr">
        <is>
          <t>Notes / Source</t>
        </is>
      </c>
    </row>
    <row r="14">
      <c r="A14" s="57" t="inlineStr">
        <is>
          <t>EVG1009</t>
        </is>
      </c>
      <c r="B14" s="57" t="n">
        <v>2025</v>
      </c>
      <c r="C14" s="57" t="inlineStr">
        <is>
          <t>none fired</t>
        </is>
      </c>
      <c r="D14" s="57" t="inlineStr">
        <is>
          <t>[No diagnostic - logged by preparer] Inherited community-property securities - 1099-B shows original cost; noncovered lots no basis</t>
        </is>
      </c>
      <c r="E14" s="57" t="inlineStr">
        <is>
          <t>Capital Loss</t>
        </is>
      </c>
      <c r="F14" s="57" t="inlineStr">
        <is>
          <t>Yes</t>
        </is>
      </c>
      <c r="G14" s="57" t="inlineStr">
        <is>
          <t>Gains and Losses &gt; Form 8949: MSFT (box D) keep 1099-B basis $13,500, adjustment code B, column (g) -142,605 -&gt; basis $156,105; VFIAX and JNJ (box E) basis = DOD FMV $222,048 and $31,080; date acquired 'INHERITED' (long-term, sec. 1223(9)). Total DOD basis $409,233; gain $11,387. Attach the step-up schedule.</t>
        </is>
      </c>
      <c r="H14" s="3" t="n">
        <v>11387</v>
      </c>
      <c r="I14" s="57" t="inlineStr">
        <is>
          <t>Signed Off</t>
        </is>
      </c>
      <c r="J14" s="57" t="inlineStr">
        <is>
          <t>T. Nguyen (staff)</t>
        </is>
      </c>
      <c r="K14" s="57" t="inlineStr">
        <is>
          <t>L. Chen (senior)</t>
        </is>
      </c>
      <c r="L14" s="57" t="inlineStr">
        <is>
          <t>EVG1009-SX1 | Workbook tab 24. Rare-Event Log | Sec. 1014(b)(6): survivor's half of community property also takes DOD basis. DOD 08/09/2025 was a Saturday - mean of 08/08 and 08/11 values (Reg. 20.2031-2(b)). Avoids a WA capital gains excise filing.</t>
        </is>
      </c>
    </row>
    <row r="15">
      <c r="A15" s="70" t="inlineStr">
        <is>
          <t>EVG1009</t>
        </is>
      </c>
      <c r="B15" s="70" t="n">
        <v>2025</v>
      </c>
      <c r="C15" s="70" t="inlineStr">
        <is>
          <t>none fired</t>
        </is>
      </c>
      <c r="D15" s="70" t="inlineStr">
        <is>
          <t>[No diagnostic - logged by preparer] Sale of the marital home (1099-S) - DOD appraisal basis and sec. 121 exclusion, code H</t>
        </is>
      </c>
      <c r="E15" s="70" t="inlineStr">
        <is>
          <t>Other</t>
        </is>
      </c>
      <c r="F15" s="70" t="inlineStr">
        <is>
          <t>Yes</t>
        </is>
      </c>
      <c r="G15" s="70" t="inlineStr">
        <is>
          <t>Sale of principal residence input (Form 8949 box F, code H): gross proceeds $685,000 (ties to 1099-S), selling expenses $51,773, basis $615,000 (retrospective DOD appraisal - full step-up), gain $18,227, sec. 121 exclusion $18,227 (MFJ $500,000 limit; ownership/use since 1998). Net $0.</t>
        </is>
      </c>
      <c r="H15" s="5" t="n">
        <v>-18227</v>
      </c>
      <c r="I15" s="70" t="inlineStr">
        <is>
          <t>Signed Off</t>
        </is>
      </c>
      <c r="J15" s="70" t="inlineStr">
        <is>
          <t>T. Nguyen (staff)</t>
        </is>
      </c>
      <c r="K15" s="70" t="inlineStr">
        <is>
          <t>L. Chen (senior)</t>
        </is>
      </c>
      <c r="L15" s="70" t="inlineStr">
        <is>
          <t>EVG1009-SX2 | Workbook tab 24. Rare-Event Log</t>
        </is>
      </c>
    </row>
    <row r="16">
      <c r="A16" s="57" t="inlineStr">
        <is>
          <t>EVG1009</t>
        </is>
      </c>
      <c r="B16" s="57" t="n">
        <v>2025</v>
      </c>
      <c r="C16" s="57" t="inlineStr">
        <is>
          <t>none fired</t>
        </is>
      </c>
      <c r="D16" s="57" t="inlineStr">
        <is>
          <t>[No diagnostic - logged by preparer] Vanguard spousal 'transfer out' AutoFlowed as an IRA distribution</t>
        </is>
      </c>
      <c r="E16" s="57" t="inlineStr">
        <is>
          <t>Other</t>
        </is>
      </c>
      <c r="F16" s="57" t="inlineStr">
        <is>
          <t>No</t>
        </is>
      </c>
      <c r="G16" s="57" t="inlineStr">
        <is>
          <t>Delete the AutoFlowed distribution; tickmark the statement 'spousal transfer - not reportable'. Only Harold's own $10,000 withdrawal (1099-R, 10% withheld) remains on lines 4a/4b.</t>
        </is>
      </c>
      <c r="H16" s="3" t="n">
        <v>0</v>
      </c>
      <c r="I16" s="57" t="inlineStr">
        <is>
          <t>Signed Off</t>
        </is>
      </c>
      <c r="J16" s="57" t="inlineStr">
        <is>
          <t>T. Nguyen (staff)</t>
        </is>
      </c>
      <c r="K16" s="57" t="inlineStr">
        <is>
          <t>L. Chen (senior)</t>
        </is>
      </c>
      <c r="L16" s="57" t="inlineStr">
        <is>
          <t>EVG1009-SX3 | Workbook tab 2. Diagnostics Log | Harold's first RMD year is 2026 and will include the former inherited balance.</t>
        </is>
      </c>
    </row>
    <row r="17">
      <c r="A17" s="70" t="inlineStr">
        <is>
          <t>EVG1009</t>
        </is>
      </c>
      <c r="B17" s="70" t="n">
        <v>2025</v>
      </c>
      <c r="C17" s="70" t="inlineStr">
        <is>
          <t>— (varies by release)</t>
        </is>
      </c>
      <c r="D17" s="70" t="inlineStr">
        <is>
          <t>Not relied on - verify whether the current release flags QSS without a qualifying child</t>
        </is>
      </c>
      <c r="E17" s="70" t="inlineStr">
        <is>
          <t>Other</t>
        </is>
      </c>
      <c r="F17" s="70" t="inlineStr">
        <is>
          <t>No</t>
        </is>
      </c>
      <c r="G17" s="70" t="inlineStr">
        <is>
          <t>General &gt; Basic Data: filing status MFJ; spouse date of death 08/09/2025 (prints 'DECEASED' and the surviving-spouse signature). No Form 1310 (no refund claimed by a non-spouse). PERM: 2026 status Single (no dependent child).</t>
        </is>
      </c>
      <c r="H17" s="5" t="n">
        <v>0</v>
      </c>
      <c r="I17" s="70" t="inlineStr">
        <is>
          <t>Signed Off</t>
        </is>
      </c>
      <c r="J17" s="70" t="inlineStr">
        <is>
          <t>T. Nguyen (staff)</t>
        </is>
      </c>
      <c r="K17" s="70" t="inlineStr">
        <is>
          <t>L. Chen (senior)</t>
        </is>
      </c>
      <c r="L17" s="70" t="inlineStr">
        <is>
          <t>EVG1009-SX4 | Workbook tab 2. Diagnostics Log | Procedure wording is imprecise - follow sec. 6013(a)(2) / sec. 2(a).</t>
        </is>
      </c>
    </row>
    <row r="18">
      <c r="A18" s="57" t="inlineStr">
        <is>
          <t>EVG1009</t>
        </is>
      </c>
      <c r="B18" s="57" t="n">
        <v>2025</v>
      </c>
      <c r="C18" s="57" t="inlineStr">
        <is>
          <t>none fired</t>
        </is>
      </c>
      <c r="D18" s="57" t="inlineStr">
        <is>
          <t>[No diagnostic - logged by preparer] Schedule 1-A senior deduction for the deceased spouse</t>
        </is>
      </c>
      <c r="E18" s="57" t="inlineStr">
        <is>
          <t>Other</t>
        </is>
      </c>
      <c r="F18" s="57" t="inlineStr">
        <is>
          <t>No</t>
        </is>
      </c>
      <c r="G18" s="57" t="inlineStr">
        <is>
          <t>Schedule 1-A senior deduction input: both spouses 65+ (verify field / override in current release). MAGI $95,881 &lt; $150,000 -&gt; 2 x $6,000 = $12,000, allowed in addition to itemizing ($52,845).</t>
        </is>
      </c>
      <c r="H18" s="3" t="n">
        <v>12000</v>
      </c>
      <c r="I18" s="57" t="inlineStr">
        <is>
          <t>Signed Off</t>
        </is>
      </c>
      <c r="J18" s="57" t="inlineStr">
        <is>
          <t>T. Nguyen (staff)</t>
        </is>
      </c>
      <c r="K18" s="57" t="inlineStr">
        <is>
          <t>L. Chen (senior)</t>
        </is>
      </c>
      <c r="L18" s="57" t="inlineStr">
        <is>
          <t>EVG1009-SX5 | Workbook tab 2. Diagnostics Log</t>
        </is>
      </c>
    </row>
    <row r="19">
      <c r="A19" s="70" t="n"/>
      <c r="B19" s="70" t="n"/>
      <c r="C19" s="70" t="n"/>
      <c r="D19" s="70" t="n"/>
      <c r="E19" s="70" t="n"/>
      <c r="F19" s="70" t="n"/>
      <c r="G19" s="70" t="n"/>
      <c r="H19" s="5" t="n"/>
      <c r="I19" s="70" t="n"/>
      <c r="J19" s="70" t="n"/>
      <c r="K19" s="70" t="n"/>
      <c r="L19" s="70" t="n"/>
    </row>
    <row r="20">
      <c r="A20" s="57" t="n"/>
      <c r="B20" s="57" t="n"/>
      <c r="C20" s="57" t="n"/>
      <c r="D20" s="57" t="n"/>
      <c r="E20" s="57" t="n"/>
      <c r="F20" s="57" t="n"/>
      <c r="G20" s="57" t="n"/>
      <c r="H20" s="3" t="n"/>
      <c r="I20" s="57" t="n"/>
      <c r="J20" s="57" t="n"/>
      <c r="K20" s="57" t="n"/>
      <c r="L20" s="57" t="n"/>
    </row>
    <row r="21">
      <c r="A21" s="70" t="n"/>
      <c r="B21" s="70" t="n"/>
      <c r="C21" s="70" t="n"/>
      <c r="D21" s="70" t="n"/>
      <c r="E21" s="70" t="n"/>
      <c r="F21" s="70" t="n"/>
      <c r="G21" s="70" t="n"/>
      <c r="H21" s="5" t="n"/>
      <c r="I21" s="70" t="n"/>
      <c r="J21" s="70" t="n"/>
      <c r="K21" s="70" t="n"/>
      <c r="L21" s="70" t="n"/>
    </row>
    <row r="22">
      <c r="A22" s="57" t="n"/>
      <c r="B22" s="57" t="n"/>
      <c r="C22" s="57" t="n"/>
      <c r="D22" s="57" t="n"/>
      <c r="E22" s="57" t="n"/>
      <c r="F22" s="57" t="n"/>
      <c r="G22" s="57" t="n"/>
      <c r="H22" s="3" t="n"/>
      <c r="I22" s="57" t="n"/>
      <c r="J22" s="57" t="n"/>
      <c r="K22" s="57" t="n"/>
      <c r="L22" s="57" t="n"/>
    </row>
    <row r="23">
      <c r="A23" s="70" t="n"/>
      <c r="B23" s="70" t="n"/>
      <c r="C23" s="70" t="n"/>
      <c r="D23" s="70" t="n"/>
      <c r="E23" s="70" t="n"/>
      <c r="F23" s="70" t="n"/>
      <c r="G23" s="70" t="n"/>
      <c r="H23" s="5" t="n"/>
      <c r="I23" s="70" t="n"/>
      <c r="J23" s="70" t="n"/>
      <c r="K23" s="70" t="n"/>
      <c r="L23" s="70" t="n"/>
    </row>
    <row r="24">
      <c r="A24" s="57" t="n"/>
      <c r="B24" s="57" t="n"/>
      <c r="C24" s="57" t="n"/>
      <c r="D24" s="57" t="n"/>
      <c r="E24" s="57" t="n"/>
      <c r="F24" s="57" t="n"/>
      <c r="G24" s="57" t="n"/>
      <c r="H24" s="3" t="n"/>
      <c r="I24" s="57" t="n"/>
      <c r="J24" s="57" t="n"/>
      <c r="K24" s="57" t="n"/>
      <c r="L24" s="57" t="n"/>
    </row>
    <row r="25">
      <c r="A25" s="70" t="n"/>
      <c r="B25" s="70" t="n"/>
      <c r="C25" s="70" t="n"/>
      <c r="D25" s="70" t="n"/>
      <c r="E25" s="70" t="n"/>
      <c r="F25" s="70" t="n"/>
      <c r="G25" s="70" t="n"/>
      <c r="H25" s="5" t="n"/>
      <c r="I25" s="70" t="n"/>
      <c r="J25" s="70" t="n"/>
      <c r="K25" s="70" t="n"/>
      <c r="L25" s="70" t="n"/>
    </row>
    <row r="26">
      <c r="A26" s="57" t="n"/>
      <c r="B26" s="57" t="n"/>
      <c r="C26" s="57" t="n"/>
      <c r="D26" s="57" t="n"/>
      <c r="E26" s="57" t="n"/>
      <c r="F26" s="57" t="n"/>
      <c r="G26" s="57" t="n"/>
      <c r="H26" s="3" t="n"/>
      <c r="I26" s="57" t="n"/>
      <c r="J26" s="57" t="n"/>
      <c r="K26" s="57" t="n"/>
      <c r="L26" s="57" t="n"/>
    </row>
    <row r="27">
      <c r="A27" s="70" t="n"/>
      <c r="B27" s="70" t="n"/>
      <c r="C27" s="70" t="n"/>
      <c r="D27" s="70" t="n"/>
      <c r="E27" s="70" t="n"/>
      <c r="F27" s="70" t="n"/>
      <c r="G27" s="70" t="n"/>
      <c r="H27" s="5" t="n"/>
      <c r="I27" s="70" t="n"/>
      <c r="J27" s="70" t="n"/>
      <c r="K27" s="70" t="n"/>
      <c r="L27" s="70" t="n"/>
    </row>
    <row r="28">
      <c r="A28" s="57" t="n"/>
      <c r="B28" s="57" t="n"/>
      <c r="C28" s="57" t="n"/>
      <c r="D28" s="57" t="n"/>
      <c r="E28" s="57" t="n"/>
      <c r="F28" s="57" t="n"/>
      <c r="G28" s="57" t="n"/>
      <c r="H28" s="3" t="n"/>
      <c r="I28" s="57" t="n"/>
      <c r="J28" s="57" t="n"/>
      <c r="K28" s="57" t="n"/>
      <c r="L28" s="57" t="n"/>
    </row>
    <row r="29">
      <c r="A29" s="70" t="n"/>
      <c r="B29" s="70" t="n"/>
      <c r="C29" s="70" t="n"/>
      <c r="D29" s="70" t="n"/>
      <c r="E29" s="70" t="n"/>
      <c r="F29" s="70" t="n"/>
      <c r="G29" s="70" t="n"/>
      <c r="H29" s="5" t="n"/>
      <c r="I29" s="70" t="n"/>
      <c r="J29" s="70" t="n"/>
      <c r="K29" s="70" t="n"/>
      <c r="L29" s="70" t="n"/>
    </row>
    <row r="30">
      <c r="A30" s="57" t="n"/>
      <c r="B30" s="57" t="n"/>
      <c r="C30" s="57" t="n"/>
      <c r="D30" s="57" t="n"/>
      <c r="E30" s="57" t="n"/>
      <c r="F30" s="57" t="n"/>
      <c r="G30" s="57" t="n"/>
      <c r="H30" s="3" t="n"/>
      <c r="I30" s="57" t="n"/>
      <c r="J30" s="57" t="n"/>
      <c r="K30" s="57" t="n"/>
      <c r="L30" s="57" t="n"/>
    </row>
    <row r="31">
      <c r="A31" s="70" t="n"/>
      <c r="B31" s="70" t="n"/>
      <c r="C31" s="70" t="n"/>
      <c r="D31" s="70" t="n"/>
      <c r="E31" s="70" t="n"/>
      <c r="F31" s="70" t="n"/>
      <c r="G31" s="70" t="n"/>
      <c r="H31" s="5" t="n"/>
      <c r="I31" s="70" t="n"/>
      <c r="J31" s="70" t="n"/>
      <c r="K31" s="70" t="n"/>
      <c r="L31" s="70" t="n"/>
    </row>
    <row r="32">
      <c r="A32" s="57" t="n"/>
      <c r="B32" s="57" t="n"/>
      <c r="C32" s="57" t="n"/>
      <c r="D32" s="57" t="n"/>
      <c r="E32" s="57" t="n"/>
      <c r="F32" s="57" t="n"/>
      <c r="G32" s="57" t="n"/>
      <c r="H32" s="3" t="n"/>
      <c r="I32" s="57" t="n"/>
      <c r="J32" s="57" t="n"/>
      <c r="K32" s="57" t="n"/>
      <c r="L32" s="57" t="n"/>
    </row>
    <row r="33">
      <c r="A33" s="70" t="n"/>
      <c r="B33" s="70" t="n"/>
      <c r="C33" s="70" t="n"/>
      <c r="D33" s="70" t="n"/>
      <c r="E33" s="70" t="n"/>
      <c r="F33" s="70" t="n"/>
      <c r="G33" s="70" t="n"/>
      <c r="H33" s="5" t="n"/>
      <c r="I33" s="70" t="n"/>
      <c r="J33" s="70" t="n"/>
      <c r="K33" s="70" t="n"/>
      <c r="L33" s="70" t="n"/>
    </row>
    <row r="34">
      <c r="A34" s="57" t="n"/>
      <c r="B34" s="57" t="n"/>
      <c r="C34" s="57" t="n"/>
      <c r="D34" s="57" t="n"/>
      <c r="E34" s="57" t="n"/>
      <c r="F34" s="57" t="n"/>
      <c r="G34" s="57" t="n"/>
      <c r="H34" s="3" t="n"/>
      <c r="I34" s="57" t="n"/>
      <c r="J34" s="57" t="n"/>
      <c r="K34" s="57" t="n"/>
      <c r="L34" s="57" t="n"/>
    </row>
    <row r="35">
      <c r="A35" s="70" t="n"/>
      <c r="B35" s="70" t="n"/>
      <c r="C35" s="70" t="n"/>
      <c r="D35" s="70" t="n"/>
      <c r="E35" s="70" t="n"/>
      <c r="F35" s="70" t="n"/>
      <c r="G35" s="70" t="n"/>
      <c r="H35" s="5" t="n"/>
      <c r="I35" s="70" t="n"/>
      <c r="J35" s="70" t="n"/>
      <c r="K35" s="70" t="n"/>
      <c r="L35" s="70" t="n"/>
    </row>
    <row r="36">
      <c r="A36" s="57" t="n"/>
      <c r="B36" s="57" t="n"/>
      <c r="C36" s="57" t="n"/>
      <c r="D36" s="57" t="n"/>
      <c r="E36" s="57" t="n"/>
      <c r="F36" s="57" t="n"/>
      <c r="G36" s="57" t="n"/>
      <c r="H36" s="3" t="n"/>
      <c r="I36" s="57" t="n"/>
      <c r="J36" s="57" t="n"/>
      <c r="K36" s="57" t="n"/>
      <c r="L36" s="57" t="n"/>
    </row>
    <row r="37">
      <c r="A37" s="70" t="n"/>
      <c r="B37" s="70" t="n"/>
      <c r="C37" s="70" t="n"/>
      <c r="D37" s="70" t="n"/>
      <c r="E37" s="70" t="n"/>
      <c r="F37" s="70" t="n"/>
      <c r="G37" s="70" t="n"/>
      <c r="H37" s="5" t="n"/>
      <c r="I37" s="70" t="n"/>
      <c r="J37" s="70" t="n"/>
      <c r="K37" s="70" t="n"/>
      <c r="L37" s="70" t="n"/>
    </row>
    <row r="38">
      <c r="A38" s="57" t="n"/>
      <c r="B38" s="57" t="n"/>
      <c r="C38" s="57" t="n"/>
      <c r="D38" s="57" t="n"/>
      <c r="E38" s="57" t="n"/>
      <c r="F38" s="57" t="n"/>
      <c r="G38" s="57" t="n"/>
      <c r="H38" s="3" t="n"/>
      <c r="I38" s="57" t="n"/>
      <c r="J38" s="57" t="n"/>
      <c r="K38" s="57" t="n"/>
      <c r="L38" s="57" t="n"/>
    </row>
    <row r="39">
      <c r="A39" s="70" t="n"/>
      <c r="B39" s="70" t="n"/>
      <c r="C39" s="70" t="n"/>
      <c r="D39" s="70" t="n"/>
      <c r="E39" s="70" t="n"/>
      <c r="F39" s="70" t="n"/>
      <c r="G39" s="70" t="n"/>
      <c r="H39" s="5" t="n"/>
      <c r="I39" s="70" t="n"/>
      <c r="J39" s="70" t="n"/>
      <c r="K39" s="70" t="n"/>
      <c r="L39" s="70" t="n"/>
    </row>
    <row r="40">
      <c r="A40" s="57" t="n"/>
      <c r="B40" s="57" t="n"/>
      <c r="C40" s="57" t="n"/>
      <c r="D40" s="57" t="n"/>
      <c r="E40" s="57" t="n"/>
      <c r="F40" s="57" t="n"/>
      <c r="G40" s="57" t="n"/>
      <c r="H40" s="3" t="n"/>
      <c r="I40" s="57" t="n"/>
      <c r="J40" s="57" t="n"/>
      <c r="K40" s="57" t="n"/>
      <c r="L40" s="57" t="n"/>
    </row>
    <row r="41">
      <c r="A41" s="70" t="n"/>
      <c r="B41" s="70" t="n"/>
      <c r="C41" s="70" t="n"/>
      <c r="D41" s="70" t="n"/>
      <c r="E41" s="70" t="n"/>
      <c r="F41" s="70" t="n"/>
      <c r="G41" s="70" t="n"/>
      <c r="H41" s="5" t="n"/>
      <c r="I41" s="70" t="n"/>
      <c r="J41" s="70" t="n"/>
      <c r="K41" s="70" t="n"/>
      <c r="L41" s="70" t="n"/>
    </row>
    <row r="42">
      <c r="A42" s="57" t="n"/>
      <c r="B42" s="57" t="n"/>
      <c r="C42" s="57" t="n"/>
      <c r="D42" s="57" t="n"/>
      <c r="E42" s="57" t="n"/>
      <c r="F42" s="57" t="n"/>
      <c r="G42" s="57" t="n"/>
      <c r="H42" s="3" t="n"/>
      <c r="I42" s="57" t="n"/>
      <c r="J42" s="57" t="n"/>
      <c r="K42" s="57" t="n"/>
      <c r="L42" s="57" t="n"/>
    </row>
    <row r="43">
      <c r="A43" s="70" t="n"/>
      <c r="B43" s="70" t="n"/>
      <c r="C43" s="70" t="n"/>
      <c r="D43" s="70" t="n"/>
      <c r="E43" s="70" t="n"/>
      <c r="F43" s="70" t="n"/>
      <c r="G43" s="70" t="n"/>
      <c r="H43" s="5" t="n"/>
      <c r="I43" s="70" t="n"/>
      <c r="J43" s="70" t="n"/>
      <c r="K43" s="70" t="n"/>
      <c r="L43" s="70" t="n"/>
    </row>
    <row r="44">
      <c r="A44" s="57" t="n"/>
      <c r="B44" s="57" t="n"/>
      <c r="C44" s="57" t="n"/>
      <c r="D44" s="57" t="n"/>
      <c r="E44" s="57" t="n"/>
      <c r="F44" s="57" t="n"/>
      <c r="G44" s="57" t="n"/>
      <c r="H44" s="3" t="n"/>
      <c r="I44" s="57" t="n"/>
      <c r="J44" s="57" t="n"/>
      <c r="K44" s="57" t="n"/>
      <c r="L44" s="57" t="n"/>
    </row>
    <row r="45">
      <c r="A45" s="70" t="n"/>
      <c r="B45" s="70" t="n"/>
      <c r="C45" s="70" t="n"/>
      <c r="D45" s="70" t="n"/>
      <c r="E45" s="70" t="n"/>
      <c r="F45" s="70" t="n"/>
      <c r="G45" s="70" t="n"/>
      <c r="H45" s="5" t="n"/>
      <c r="I45" s="70" t="n"/>
      <c r="J45" s="70" t="n"/>
      <c r="K45" s="70" t="n"/>
      <c r="L45" s="70" t="n"/>
    </row>
    <row r="46">
      <c r="A46" s="57" t="n"/>
      <c r="B46" s="57" t="n"/>
      <c r="C46" s="57" t="n"/>
      <c r="D46" s="57" t="n"/>
      <c r="E46" s="57" t="n"/>
      <c r="F46" s="57" t="n"/>
      <c r="G46" s="57" t="n"/>
      <c r="H46" s="3" t="n"/>
      <c r="I46" s="57" t="n"/>
      <c r="J46" s="57" t="n"/>
      <c r="K46" s="57" t="n"/>
      <c r="L46" s="57" t="n"/>
    </row>
    <row r="47">
      <c r="A47" s="70" t="n"/>
      <c r="B47" s="70" t="n"/>
      <c r="C47" s="70" t="n"/>
      <c r="D47" s="70" t="n"/>
      <c r="E47" s="70" t="n"/>
      <c r="F47" s="70" t="n"/>
      <c r="G47" s="70" t="n"/>
      <c r="H47" s="5" t="n"/>
      <c r="I47" s="70" t="n"/>
      <c r="J47" s="70" t="n"/>
      <c r="K47" s="70" t="n"/>
      <c r="L47" s="70" t="n"/>
    </row>
    <row r="48">
      <c r="A48" s="57" t="n"/>
      <c r="B48" s="57" t="n"/>
      <c r="C48" s="57" t="n"/>
      <c r="D48" s="57" t="n"/>
      <c r="E48" s="57" t="n"/>
      <c r="F48" s="57" t="n"/>
      <c r="G48" s="57" t="n"/>
      <c r="H48" s="3" t="n"/>
      <c r="I48" s="57" t="n"/>
      <c r="J48" s="57" t="n"/>
      <c r="K48" s="57" t="n"/>
      <c r="L48" s="57" t="n"/>
    </row>
    <row r="49">
      <c r="A49" s="70" t="n"/>
      <c r="B49" s="70" t="n"/>
      <c r="C49" s="70" t="n"/>
      <c r="D49" s="70" t="n"/>
      <c r="E49" s="70" t="n"/>
      <c r="F49" s="70" t="n"/>
      <c r="G49" s="70" t="n"/>
      <c r="H49" s="5" t="n"/>
      <c r="I49" s="70" t="n"/>
      <c r="J49" s="70" t="n"/>
      <c r="K49" s="70" t="n"/>
      <c r="L49" s="70" t="n"/>
    </row>
    <row r="50">
      <c r="A50" s="57" t="n"/>
      <c r="B50" s="57" t="n"/>
      <c r="C50" s="57" t="n"/>
      <c r="D50" s="57" t="n"/>
      <c r="E50" s="57" t="n"/>
      <c r="F50" s="57" t="n"/>
      <c r="G50" s="57" t="n"/>
      <c r="H50" s="3" t="n"/>
      <c r="I50" s="57" t="n"/>
      <c r="J50" s="57" t="n"/>
      <c r="K50" s="57" t="n"/>
      <c r="L50" s="57" t="n"/>
    </row>
    <row r="51">
      <c r="A51" s="70" t="n"/>
      <c r="B51" s="70" t="n"/>
      <c r="C51" s="70" t="n"/>
      <c r="D51" s="70" t="n"/>
      <c r="E51" s="70" t="n"/>
      <c r="F51" s="70" t="n"/>
      <c r="G51" s="70" t="n"/>
      <c r="H51" s="5" t="n"/>
      <c r="I51" s="70" t="n"/>
      <c r="J51" s="70" t="n"/>
      <c r="K51" s="70" t="n"/>
      <c r="L51" s="70" t="n"/>
    </row>
    <row r="52">
      <c r="A52" s="57" t="n"/>
      <c r="B52" s="57" t="n"/>
      <c r="C52" s="57" t="n"/>
      <c r="D52" s="57" t="n"/>
      <c r="E52" s="57" t="n"/>
      <c r="F52" s="57" t="n"/>
      <c r="G52" s="57" t="n"/>
      <c r="H52" s="3" t="n"/>
      <c r="I52" s="57" t="n"/>
      <c r="J52" s="57" t="n"/>
      <c r="K52" s="57" t="n"/>
      <c r="L52" s="57" t="n"/>
    </row>
    <row r="53">
      <c r="A53" s="70" t="n"/>
      <c r="B53" s="70" t="n"/>
      <c r="C53" s="70" t="n"/>
      <c r="D53" s="70" t="n"/>
      <c r="E53" s="70" t="n"/>
      <c r="F53" s="70" t="n"/>
      <c r="G53" s="70" t="n"/>
      <c r="H53" s="5" t="n"/>
      <c r="I53" s="70" t="n"/>
      <c r="J53" s="70" t="n"/>
      <c r="K53" s="70" t="n"/>
      <c r="L53" s="70" t="n"/>
    </row>
  </sheetData>
  <mergeCells count="11">
    <mergeCell ref="A2:L2"/>
    <mergeCell ref="A10:L10"/>
    <mergeCell ref="A7:L7"/>
    <mergeCell ref="A11:L11"/>
    <mergeCell ref="A1:L1"/>
    <mergeCell ref="A5:L5"/>
    <mergeCell ref="A8:L8"/>
    <mergeCell ref="A6:L6"/>
    <mergeCell ref="A9:L9"/>
    <mergeCell ref="A3:L3"/>
    <mergeCell ref="A4:L4"/>
  </mergeCells>
  <dataValidations count="3">
    <dataValidation sqref="E14:E53" showDropDown="0" showInputMessage="0" showErrorMessage="0" allowBlank="1" type="list">
      <formula1>"Basis/At-Risk/Passive,Depreciation,State Allocation,Est. Tax Penalty,AMT,Capital Loss,E-file Disqualifying,Other"</formula1>
      <formula2>0</formula2>
    </dataValidation>
    <dataValidation sqref="F14:F53" showDropDown="0" showInputMessage="0" showErrorMessage="0" allowBlank="1" type="list">
      <formula1>"Yes,No"</formula1>
      <formula2>0</formula2>
    </dataValidation>
    <dataValidation sqref="I14:I53" showDropDown="0" showInputMessage="0" showErrorMessage="0" allowBlank="1" type="list">
      <formula1>"Open,In Progress,Override Entered,Cleared,Signed Off"</formula1>
      <formula2>0</formula2>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F3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K-1 BASIS LIMITATION WORKSHEET</t>
        </is>
      </c>
    </row>
    <row r="2" ht="19.5" customHeight="1">
      <c r="A2" s="65" t="inlineStr">
        <is>
          <t>HOW TO USE THIS TAB</t>
        </is>
      </c>
    </row>
    <row r="3" ht="15.75" customHeight="1">
      <c r="A3" s="66" t="inlineStr">
        <is>
          <t>Reconstruct each K-1's basis so the allowed loss you enter in Axcess (or the override, if Axcess's auto-basis result needs adjustment) is supportable. Mirrors Income/Deductions &gt; Partnership (or S Corp) Passthrough &gt; Section 6 - Basis Limitation.</t>
        </is>
      </c>
    </row>
    <row r="4" ht="25.5" customHeight="1">
      <c r="A4" s="67" t="inlineStr">
        <is>
          <t>1) One block per K-1 activity — copy the block (rows with the tan input cells) down for additional entities.</t>
        </is>
      </c>
    </row>
    <row r="5" ht="25.5" customHeight="1">
      <c r="A5" s="67" t="inlineStr">
        <is>
          <t>2) Enter Beginning Basis, all Increases (income, additional contributions/debt) and Decreases (distributions, nondeductible expenses, prior losses) in the tan cells; column F computes Ending Basis Before Current-Year Loss automatically.</t>
        </is>
      </c>
    </row>
    <row r="6" ht="25.5" customHeight="1">
      <c r="A6" s="67" t="inlineStr">
        <is>
          <t>3) 'Current-Year Loss/Deduction Reported on K-1' is the amount before any limitation.</t>
        </is>
      </c>
    </row>
    <row r="7" ht="25.5" customHeight="1">
      <c r="A7" s="67" t="inlineStr">
        <is>
          <t>4) 'Allowed Loss (limited to basis)' and 'Suspended for Basis (carryover)' are computed — enter the Allowed figure as your override / input on the Basis Limitation worksheet in Axcess, and carry any suspended amount forward next year.</t>
        </is>
      </c>
    </row>
    <row r="8" ht="25.5" customHeight="1">
      <c r="A8" s="67" t="inlineStr">
        <is>
          <t>5) Allowed loss here is what flows next to the At-Risk tab (Tab 4), then to the Passive Activity tab (Tab 5) — the loss is only allowed once it clears ALL THREE tests.</t>
        </is>
      </c>
    </row>
    <row r="9" ht="13.5" customHeight="1">
      <c r="A9" s="68" t="inlineStr">
        <is>
          <t>Source: How passthrough loss limitations flow through a 1040 in Axcess — support.cch.com/kb/solution/000056461</t>
        </is>
      </c>
    </row>
    <row r="10" ht="13.5" customHeight="1">
      <c r="A10" s="68" t="inlineStr">
        <is>
          <t>Source: Producing the Basis Limitation worksheet in Axcess — support.cch.com/kb/solution.aspx/sw11361</t>
        </is>
      </c>
    </row>
    <row r="12" ht="19.5" customHeight="1">
      <c r="A12" s="2" t="inlineStr">
        <is>
          <t>Entity Name / Activity</t>
        </is>
      </c>
      <c r="B12" s="2" t="inlineStr">
        <is>
          <t>Beginning Basis</t>
        </is>
      </c>
      <c r="C12" s="2" t="inlineStr">
        <is>
          <t>Total Increases</t>
        </is>
      </c>
      <c r="D12" s="2" t="inlineStr">
        <is>
          <t>Total Decreases</t>
        </is>
      </c>
      <c r="E12" s="2" t="inlineStr">
        <is>
          <t>Ending Basis Before Loss</t>
        </is>
      </c>
      <c r="F12" s="2" t="inlineStr">
        <is>
          <t>Notes</t>
        </is>
      </c>
    </row>
    <row r="13">
      <c r="A13" s="6" t="n"/>
      <c r="B13" s="7" t="n"/>
      <c r="C13" s="7" t="n"/>
      <c r="D13" s="7" t="n"/>
      <c r="E13" s="7">
        <f>B13+C13-D13</f>
        <v/>
      </c>
      <c r="F13" s="6" t="n"/>
    </row>
    <row r="14">
      <c r="A14" s="8" t="n"/>
      <c r="B14" s="9" t="n"/>
      <c r="C14" s="9" t="n"/>
      <c r="D14" s="9" t="n"/>
      <c r="E14" s="9">
        <f>B14+C14-D14</f>
        <v/>
      </c>
      <c r="F14" s="8" t="n"/>
    </row>
    <row r="15">
      <c r="A15" s="6" t="n"/>
      <c r="B15" s="7" t="n"/>
      <c r="C15" s="7" t="n"/>
      <c r="D15" s="7" t="n"/>
      <c r="E15" s="7">
        <f>B15+C15-D15</f>
        <v/>
      </c>
      <c r="F15" s="6" t="n"/>
    </row>
    <row r="16">
      <c r="A16" s="8" t="n"/>
      <c r="B16" s="9" t="n"/>
      <c r="C16" s="9" t="n"/>
      <c r="D16" s="9" t="n"/>
      <c r="E16" s="9">
        <f>B16+C16-D16</f>
        <v/>
      </c>
      <c r="F16" s="8" t="n"/>
    </row>
    <row r="17">
      <c r="A17" s="6" t="n"/>
      <c r="B17" s="7" t="n"/>
      <c r="C17" s="7" t="n"/>
      <c r="D17" s="7" t="n"/>
      <c r="E17" s="7">
        <f>B17+C17-D17</f>
        <v/>
      </c>
      <c r="F17" s="6" t="n"/>
    </row>
    <row r="18">
      <c r="A18" s="8" t="n"/>
      <c r="B18" s="9" t="n"/>
      <c r="C18" s="9" t="n"/>
      <c r="D18" s="9" t="n"/>
      <c r="E18" s="9">
        <f>B18+C18-D18</f>
        <v/>
      </c>
      <c r="F18" s="8" t="n"/>
    </row>
    <row r="19">
      <c r="A19" s="6" t="n"/>
      <c r="B19" s="7" t="n"/>
      <c r="C19" s="7" t="n"/>
      <c r="D19" s="7" t="n"/>
      <c r="E19" s="7">
        <f>B19+C19-D19</f>
        <v/>
      </c>
      <c r="F19" s="6" t="n"/>
    </row>
    <row r="20">
      <c r="A20" s="8" t="n"/>
      <c r="B20" s="9" t="n"/>
      <c r="C20" s="9" t="n"/>
      <c r="D20" s="9" t="n"/>
      <c r="E20" s="9">
        <f>B20+C20-D20</f>
        <v/>
      </c>
      <c r="F20" s="8" t="n"/>
    </row>
    <row r="22" ht="18" customHeight="1">
      <c r="A22" s="69" t="inlineStr">
        <is>
          <t>Allowed vs. Suspended Loss (per entity, current year)</t>
        </is>
      </c>
    </row>
    <row r="23" ht="19.5" customHeight="1">
      <c r="A23" s="2" t="inlineStr">
        <is>
          <t>Entity Name / Activity</t>
        </is>
      </c>
      <c r="B23" s="2" t="inlineStr">
        <is>
          <t>Ending Basis Before Loss</t>
        </is>
      </c>
      <c r="C23" s="2" t="inlineStr">
        <is>
          <t>Current-Year Loss on K-1</t>
        </is>
      </c>
      <c r="D23" s="2" t="inlineStr">
        <is>
          <t>Allowed Loss (limited to basis)</t>
        </is>
      </c>
      <c r="E23" s="2" t="inlineStr">
        <is>
          <t>Suspended for Basis (carryover)</t>
        </is>
      </c>
      <c r="F23" s="2" t="inlineStr">
        <is>
          <t>Override entered in Axcess?</t>
        </is>
      </c>
    </row>
    <row r="24">
      <c r="A24" s="57">
        <f>A13</f>
        <v/>
      </c>
      <c r="B24" s="3">
        <f>E13</f>
        <v/>
      </c>
      <c r="C24" s="3" t="n"/>
      <c r="D24" s="3">
        <f>IF(C24=0,0,-MIN(C24,B24))</f>
        <v/>
      </c>
      <c r="E24" s="3">
        <f>IF(C24&gt;B24,C24-B24,0)</f>
        <v/>
      </c>
      <c r="F24" s="57" t="n"/>
    </row>
    <row r="25">
      <c r="A25" s="70">
        <f>A14</f>
        <v/>
      </c>
      <c r="B25" s="5">
        <f>E14</f>
        <v/>
      </c>
      <c r="C25" s="5" t="n"/>
      <c r="D25" s="5">
        <f>IF(C25=0,0,-MIN(C25,B25))</f>
        <v/>
      </c>
      <c r="E25" s="5">
        <f>IF(C25&gt;B25,C25-B25,0)</f>
        <v/>
      </c>
      <c r="F25" s="70" t="n"/>
    </row>
    <row r="26">
      <c r="A26" s="57">
        <f>A15</f>
        <v/>
      </c>
      <c r="B26" s="3">
        <f>E15</f>
        <v/>
      </c>
      <c r="C26" s="3" t="n"/>
      <c r="D26" s="3">
        <f>IF(C26=0,0,-MIN(C26,B26))</f>
        <v/>
      </c>
      <c r="E26" s="3">
        <f>IF(C26&gt;B26,C26-B26,0)</f>
        <v/>
      </c>
      <c r="F26" s="57" t="n"/>
    </row>
    <row r="27">
      <c r="A27" s="70">
        <f>A16</f>
        <v/>
      </c>
      <c r="B27" s="5">
        <f>E16</f>
        <v/>
      </c>
      <c r="C27" s="5" t="n"/>
      <c r="D27" s="5">
        <f>IF(C27=0,0,-MIN(C27,B27))</f>
        <v/>
      </c>
      <c r="E27" s="5">
        <f>IF(C27&gt;B27,C27-B27,0)</f>
        <v/>
      </c>
      <c r="F27" s="70" t="n"/>
    </row>
    <row r="28">
      <c r="A28" s="57">
        <f>A17</f>
        <v/>
      </c>
      <c r="B28" s="3">
        <f>E17</f>
        <v/>
      </c>
      <c r="C28" s="3" t="n"/>
      <c r="D28" s="3">
        <f>IF(C28=0,0,-MIN(C28,B28))</f>
        <v/>
      </c>
      <c r="E28" s="3">
        <f>IF(C28&gt;B28,C28-B28,0)</f>
        <v/>
      </c>
      <c r="F28" s="57" t="n"/>
    </row>
    <row r="29">
      <c r="A29" s="70">
        <f>A18</f>
        <v/>
      </c>
      <c r="B29" s="5">
        <f>E18</f>
        <v/>
      </c>
      <c r="C29" s="5" t="n"/>
      <c r="D29" s="5">
        <f>IF(C29=0,0,-MIN(C29,B29))</f>
        <v/>
      </c>
      <c r="E29" s="5">
        <f>IF(C29&gt;B29,C29-B29,0)</f>
        <v/>
      </c>
      <c r="F29" s="70" t="n"/>
    </row>
    <row r="30">
      <c r="A30" s="57">
        <f>A19</f>
        <v/>
      </c>
      <c r="B30" s="3">
        <f>E19</f>
        <v/>
      </c>
      <c r="C30" s="3" t="n"/>
      <c r="D30" s="3">
        <f>IF(C30=0,0,-MIN(C30,B30))</f>
        <v/>
      </c>
      <c r="E30" s="3">
        <f>IF(C30&gt;B30,C30-B30,0)</f>
        <v/>
      </c>
      <c r="F30" s="57" t="n"/>
    </row>
    <row r="31">
      <c r="A31" s="70">
        <f>A20</f>
        <v/>
      </c>
      <c r="B31" s="5">
        <f>E20</f>
        <v/>
      </c>
      <c r="C31" s="5" t="n"/>
      <c r="D31" s="5">
        <f>IF(C31=0,0,-MIN(C31,B31))</f>
        <v/>
      </c>
      <c r="E31" s="5">
        <f>IF(C31&gt;B31,C31-B31,0)</f>
        <v/>
      </c>
      <c r="F31" s="70" t="n"/>
    </row>
  </sheetData>
  <mergeCells count="11">
    <mergeCell ref="A2:F2"/>
    <mergeCell ref="A10:F10"/>
    <mergeCell ref="A1:F1"/>
    <mergeCell ref="A5:F5"/>
    <mergeCell ref="A9:F9"/>
    <mergeCell ref="A8:F8"/>
    <mergeCell ref="A6:F6"/>
    <mergeCell ref="A22:F22"/>
    <mergeCell ref="A4:F4"/>
    <mergeCell ref="A3:F3"/>
    <mergeCell ref="A7:F7"/>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E20"/>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2" customWidth="1" min="1" max="1"/>
    <col width="18" customWidth="1" min="2" max="4"/>
    <col width="30" customWidth="1" min="5" max="5"/>
  </cols>
  <sheetData>
    <row r="1" ht="25.5" customHeight="1">
      <c r="A1" s="64" t="inlineStr">
        <is>
          <t>AT-RISK LIMITATION WORKSHEET — FORM 6198</t>
        </is>
      </c>
    </row>
    <row r="2" ht="19.5" customHeight="1">
      <c r="A2" s="65" t="inlineStr">
        <is>
          <t>HOW TO USE THIS TAB</t>
        </is>
      </c>
    </row>
    <row r="3" ht="15.75" customHeight="1">
      <c r="A3" s="66" t="inlineStr">
        <is>
          <t>Confirms the amount actually 'at risk' in an activity, per activity, so a loss carried past basis into Form 6198 is correctly limited before it reaches the Passive Activity worksheet (Tab 5).</t>
        </is>
      </c>
    </row>
    <row r="4" ht="25.5" customHeight="1">
      <c r="A4" s="67" t="inlineStr">
        <is>
          <t>1) One row per activity that is subject to at-risk rules (checkbox is set on Income/Deductions &gt; Passthrough &gt; Section 6 or the Business/Rental input, 'Subject this entity to the at-risk limitation').</t>
        </is>
      </c>
    </row>
    <row r="5" ht="25.5" customHeight="1">
      <c r="A5" s="67" t="inlineStr">
        <is>
          <t>2) 'Loss Allowed by Basis' pulls conceptually from Tab 3 — re-enter it here (tan cell) for the same activity.</t>
        </is>
      </c>
    </row>
    <row r="6" ht="25.5" customHeight="1">
      <c r="A6" s="67" t="inlineStr">
        <is>
          <t>3) Enter Cash &amp; Adjusted Basis of Other Property Contributed, plus Amounts Borrowed for the activity for which the taxpayer is personally liable (qualified nonrecourse financing counted separately per Form 6198 Part I).</t>
        </is>
      </c>
    </row>
    <row r="7" ht="25.5" customHeight="1">
      <c r="A7" s="67" t="inlineStr">
        <is>
          <t>4) 'At-Risk Amount' totals the at-risk components; 'Allowed Loss (at-risk limited)' is the lesser of basis-allowed loss or at-risk amount — enter this as the override on Form 6198 / the At-Risk worksheet if Axcess's default differs.</t>
        </is>
      </c>
    </row>
    <row r="8" ht="25.5" customHeight="1">
      <c r="A8" s="67" t="inlineStr">
        <is>
          <t>5) Any amount disallowed here carries forward on Form 6198, Part III as a suspended at-risk loss next year.</t>
        </is>
      </c>
    </row>
    <row r="9" ht="13.5" customHeight="1">
      <c r="A9" s="68" t="inlineStr">
        <is>
          <t>Source: How passthrough loss limitations flow through a 1040 in Axcess — support.cch.com/kb/solution/000056461</t>
        </is>
      </c>
    </row>
    <row r="10" ht="13.5" customHeight="1">
      <c r="A10" s="68" t="inlineStr">
        <is>
          <t>Source: IRS Form 6198, At-Risk Limitations — irs.gov/forms-pubs/about-form-6198</t>
        </is>
      </c>
    </row>
    <row r="12" ht="19.5" customHeight="1">
      <c r="A12" s="2" t="inlineStr">
        <is>
          <t>Activity</t>
        </is>
      </c>
      <c r="B12" s="2" t="inlineStr">
        <is>
          <t>Loss Allowed by Basis (from Tab 3)</t>
        </is>
      </c>
      <c r="C12" s="2" t="inlineStr">
        <is>
          <t>Cash/Property Invested + Recourse Debt</t>
        </is>
      </c>
      <c r="D12" s="2" t="inlineStr">
        <is>
          <t>At-Risk Amount (computed)</t>
        </is>
      </c>
      <c r="E12" s="2" t="inlineStr">
        <is>
          <t>Allowed Loss (at-risk limited) — enter as override</t>
        </is>
      </c>
    </row>
    <row r="13">
      <c r="A13" s="57" t="n"/>
      <c r="B13" s="3" t="n"/>
      <c r="C13" s="3" t="n"/>
      <c r="D13" s="3">
        <f>C13</f>
        <v/>
      </c>
      <c r="E13" s="3">
        <f>-MIN(B13,D13)</f>
        <v/>
      </c>
    </row>
    <row r="14">
      <c r="A14" s="70" t="n"/>
      <c r="B14" s="5" t="n"/>
      <c r="C14" s="5" t="n"/>
      <c r="D14" s="5">
        <f>C14</f>
        <v/>
      </c>
      <c r="E14" s="5">
        <f>-MIN(B14,D14)</f>
        <v/>
      </c>
    </row>
    <row r="15">
      <c r="A15" s="57" t="n"/>
      <c r="B15" s="3" t="n"/>
      <c r="C15" s="3" t="n"/>
      <c r="D15" s="3">
        <f>C15</f>
        <v/>
      </c>
      <c r="E15" s="3">
        <f>-MIN(B15,D15)</f>
        <v/>
      </c>
    </row>
    <row r="16">
      <c r="A16" s="70" t="n"/>
      <c r="B16" s="5" t="n"/>
      <c r="C16" s="5" t="n"/>
      <c r="D16" s="5">
        <f>C16</f>
        <v/>
      </c>
      <c r="E16" s="5">
        <f>-MIN(B16,D16)</f>
        <v/>
      </c>
    </row>
    <row r="17">
      <c r="A17" s="57" t="n"/>
      <c r="B17" s="3" t="n"/>
      <c r="C17" s="3" t="n"/>
      <c r="D17" s="3">
        <f>C17</f>
        <v/>
      </c>
      <c r="E17" s="3">
        <f>-MIN(B17,D17)</f>
        <v/>
      </c>
    </row>
    <row r="18">
      <c r="A18" s="70" t="n"/>
      <c r="B18" s="5" t="n"/>
      <c r="C18" s="5" t="n"/>
      <c r="D18" s="5">
        <f>C18</f>
        <v/>
      </c>
      <c r="E18" s="5">
        <f>-MIN(B18,D18)</f>
        <v/>
      </c>
    </row>
    <row r="19">
      <c r="A19" s="57" t="n"/>
      <c r="B19" s="3" t="n"/>
      <c r="C19" s="3" t="n"/>
      <c r="D19" s="3">
        <f>C19</f>
        <v/>
      </c>
      <c r="E19" s="3">
        <f>-MIN(B19,D19)</f>
        <v/>
      </c>
    </row>
    <row r="20">
      <c r="A20" s="70" t="n"/>
      <c r="B20" s="5" t="n"/>
      <c r="C20" s="5" t="n"/>
      <c r="D20" s="5">
        <f>C20</f>
        <v/>
      </c>
      <c r="E20" s="5">
        <f>-MIN(B20,D20)</f>
        <v/>
      </c>
    </row>
  </sheetData>
  <mergeCells count="10">
    <mergeCell ref="A4:E4"/>
    <mergeCell ref="A2:E2"/>
    <mergeCell ref="A10:E10"/>
    <mergeCell ref="A7:E7"/>
    <mergeCell ref="A1:E1"/>
    <mergeCell ref="A5:E5"/>
    <mergeCell ref="A8:E8"/>
    <mergeCell ref="A6:E6"/>
    <mergeCell ref="A9:E9"/>
    <mergeCell ref="A3:E3"/>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F28"/>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6" customWidth="1" min="1" max="1"/>
    <col width="16" customWidth="1" min="2" max="5"/>
    <col width="30" customWidth="1" min="6" max="6"/>
  </cols>
  <sheetData>
    <row r="1" ht="25.5" customHeight="1">
      <c r="A1" s="64" t="inlineStr">
        <is>
          <t>PASSIVE ACTIVITY LOSS WORKSHEET — FORM 8582</t>
        </is>
      </c>
    </row>
    <row r="2" ht="19.5" customHeight="1">
      <c r="A2" s="65" t="inlineStr">
        <is>
          <t>HOW TO USE THIS TAB</t>
        </is>
      </c>
    </row>
    <row r="3" ht="15.75" customHeight="1">
      <c r="A3" s="66" t="inlineStr">
        <is>
          <t>Computes allowed vs. suspended passive losses, including the active-participation rental real estate special allowance, so overrides on Form 8582 / Schedule E, Page 2 are supportable.</t>
        </is>
      </c>
    </row>
    <row r="4" ht="25.5" customHeight="1">
      <c r="A4" s="67" t="inlineStr">
        <is>
          <t>1) List every passive activity (rental real estate and other passive K-1s). Enter the loss that survived Basis (Tab 3) and At-Risk (Tab 4) limitations in 'Loss Available for 8582'.</t>
        </is>
      </c>
    </row>
    <row r="5" ht="25.5" customHeight="1">
      <c r="A5" s="67" t="inlineStr">
        <is>
          <t>2) Mark 'Active Participation Rental?' Yes only for rental real estate where the taxpayer actively participates (needed for the $25,000 special allowance).</t>
        </is>
      </c>
    </row>
    <row r="6" ht="25.5" customHeight="1">
      <c r="A6" s="67" t="inlineStr">
        <is>
          <t>3) The Special Allowance block (rows below the activity grid) computes the $25,000 allowance phase-out between $100,000–$150,000 of Modified AGI automatically — enter MAGI in the tan cell.</t>
        </is>
      </c>
    </row>
    <row r="7" ht="25.5" customHeight="1">
      <c r="A7" s="67" t="inlineStr">
        <is>
          <t>4) 'Allowed Loss' and 'Suspended (Carryover)' per activity are computed. Enter Allowed Loss as the override on Form 8582 / Schedule E Page 2 if the Axcess default doesn't reflect activity-specific netting you need to force.</t>
        </is>
      </c>
    </row>
    <row r="8" ht="25.5" customHeight="1">
      <c r="A8" s="67" t="inlineStr">
        <is>
          <t>5) Passive income activities net against passive losses automatically in Axcess; use this tab mainly to verify or override the disallowed portion when real estate professional status or grouping elections are involved.</t>
        </is>
      </c>
    </row>
    <row r="9" ht="13.5" customHeight="1">
      <c r="A9" s="68" t="inlineStr">
        <is>
          <t>Source: IRS Instructions for Form 8582 — irs.gov/instructions/i8582</t>
        </is>
      </c>
    </row>
    <row r="10" ht="13.5" customHeight="1">
      <c r="A10" s="68" t="inlineStr">
        <is>
          <t>Source: IRS Pub. 925, Passive Activity and At-Risk Rules — irs.gov/publications/p925</t>
        </is>
      </c>
    </row>
    <row r="12" ht="19.5" customHeight="1">
      <c r="A12" s="2" t="inlineStr">
        <is>
          <t>Activity</t>
        </is>
      </c>
      <c r="B12" s="2" t="inlineStr">
        <is>
          <t>Active Participation Rental? (Y/N)</t>
        </is>
      </c>
      <c r="C12" s="2" t="inlineStr">
        <is>
          <t>Loss Available for 8582</t>
        </is>
      </c>
      <c r="D12" s="2" t="inlineStr">
        <is>
          <t>Passive Income (same activity/basket)</t>
        </is>
      </c>
      <c r="E12" s="2" t="inlineStr">
        <is>
          <t>Net Loss Before Allowance</t>
        </is>
      </c>
      <c r="F12" s="2" t="inlineStr">
        <is>
          <t>Notes</t>
        </is>
      </c>
    </row>
    <row r="13">
      <c r="A13" s="57" t="n"/>
      <c r="B13" s="57" t="n"/>
      <c r="C13" s="3" t="n"/>
      <c r="D13" s="3" t="n"/>
      <c r="E13" s="3">
        <f>C13-D13</f>
        <v/>
      </c>
      <c r="F13" s="57" t="n"/>
    </row>
    <row r="14">
      <c r="A14" s="70" t="n"/>
      <c r="B14" s="70" t="n"/>
      <c r="C14" s="5" t="n"/>
      <c r="D14" s="5" t="n"/>
      <c r="E14" s="5">
        <f>C14-D14</f>
        <v/>
      </c>
      <c r="F14" s="70" t="n"/>
    </row>
    <row r="15">
      <c r="A15" s="57" t="n"/>
      <c r="B15" s="57" t="n"/>
      <c r="C15" s="3" t="n"/>
      <c r="D15" s="3" t="n"/>
      <c r="E15" s="3">
        <f>C15-D15</f>
        <v/>
      </c>
      <c r="F15" s="57" t="n"/>
    </row>
    <row r="16">
      <c r="A16" s="70" t="n"/>
      <c r="B16" s="70" t="n"/>
      <c r="C16" s="5" t="n"/>
      <c r="D16" s="5" t="n"/>
      <c r="E16" s="5">
        <f>C16-D16</f>
        <v/>
      </c>
      <c r="F16" s="70" t="n"/>
    </row>
    <row r="17">
      <c r="A17" s="57" t="n"/>
      <c r="B17" s="57" t="n"/>
      <c r="C17" s="3" t="n"/>
      <c r="D17" s="3" t="n"/>
      <c r="E17" s="3">
        <f>C17-D17</f>
        <v/>
      </c>
      <c r="F17" s="57" t="n"/>
    </row>
    <row r="18">
      <c r="A18" s="70" t="n"/>
      <c r="B18" s="70" t="n"/>
      <c r="C18" s="5" t="n"/>
      <c r="D18" s="5" t="n"/>
      <c r="E18" s="5">
        <f>C18-D18</f>
        <v/>
      </c>
      <c r="F18" s="70" t="n"/>
    </row>
    <row r="19">
      <c r="A19" s="57" t="n"/>
      <c r="B19" s="57" t="n"/>
      <c r="C19" s="3" t="n"/>
      <c r="D19" s="3" t="n"/>
      <c r="E19" s="3">
        <f>C19-D19</f>
        <v/>
      </c>
      <c r="F19" s="57" t="n"/>
    </row>
    <row r="20">
      <c r="A20" s="70" t="n"/>
      <c r="B20" s="70" t="n"/>
      <c r="C20" s="5" t="n"/>
      <c r="D20" s="5" t="n"/>
      <c r="E20" s="5">
        <f>C20-D20</f>
        <v/>
      </c>
      <c r="F20" s="70" t="n"/>
    </row>
    <row r="22" ht="18" customHeight="1">
      <c r="A22" s="69" t="inlineStr">
        <is>
          <t>$25,000 Special Allowance Phase-Out (Active Participation Rental Real Estate)</t>
        </is>
      </c>
    </row>
    <row r="23">
      <c r="A23" s="57" t="inlineStr">
        <is>
          <t>Modified AGI (before passive losses)</t>
        </is>
      </c>
      <c r="B23" s="97" t="n"/>
      <c r="C23" s="97" t="n"/>
      <c r="D23" s="96" t="n"/>
      <c r="E23" s="3" t="n"/>
      <c r="F23" s="57" t="n"/>
    </row>
    <row r="24">
      <c r="A24" s="70" t="inlineStr">
        <is>
          <t>Threshold</t>
        </is>
      </c>
      <c r="B24" s="97" t="n"/>
      <c r="C24" s="97" t="n"/>
      <c r="D24" s="96" t="n"/>
      <c r="E24" s="5" t="n">
        <v>100000</v>
      </c>
      <c r="F24" s="70" t="n"/>
    </row>
    <row r="25">
      <c r="A25" s="57" t="inlineStr">
        <is>
          <t>Phase-out Ceiling</t>
        </is>
      </c>
      <c r="B25" s="97" t="n"/>
      <c r="C25" s="97" t="n"/>
      <c r="D25" s="96" t="n"/>
      <c r="E25" s="3" t="n">
        <v>150000</v>
      </c>
      <c r="F25" s="57" t="n"/>
    </row>
    <row r="26">
      <c r="A26" s="70" t="inlineStr">
        <is>
          <t>Excess over Threshold</t>
        </is>
      </c>
      <c r="B26" s="97" t="n"/>
      <c r="C26" s="97" t="n"/>
      <c r="D26" s="96" t="n"/>
      <c r="E26" s="5">
        <f>MAX(0,E23-E24)</f>
        <v/>
      </c>
      <c r="F26" s="70" t="n"/>
    </row>
    <row r="27">
      <c r="A27" s="57" t="inlineStr">
        <is>
          <t>Reduction (50% of excess, max $25,000)</t>
        </is>
      </c>
      <c r="B27" s="97" t="n"/>
      <c r="C27" s="97" t="n"/>
      <c r="D27" s="96" t="n"/>
      <c r="E27" s="3">
        <f>MIN(25000,ROUND(E26*0.5,0))</f>
        <v/>
      </c>
      <c r="F27" s="57" t="n"/>
    </row>
    <row r="28">
      <c r="A28" s="70" t="inlineStr">
        <is>
          <t>Maximum Special Allowance Available</t>
        </is>
      </c>
      <c r="B28" s="97" t="n"/>
      <c r="C28" s="97" t="n"/>
      <c r="D28" s="96" t="n"/>
      <c r="E28" s="5">
        <f>MAX(0,25000-E27)</f>
        <v/>
      </c>
      <c r="F28" s="70" t="n"/>
    </row>
  </sheetData>
  <mergeCells count="17">
    <mergeCell ref="A2:F2"/>
    <mergeCell ref="A23:D23"/>
    <mergeCell ref="A27:D27"/>
    <mergeCell ref="A10:F10"/>
    <mergeCell ref="A1:F1"/>
    <mergeCell ref="A26:D26"/>
    <mergeCell ref="A9:F9"/>
    <mergeCell ref="A5:F5"/>
    <mergeCell ref="A8:F8"/>
    <mergeCell ref="A6:F6"/>
    <mergeCell ref="A22:F22"/>
    <mergeCell ref="A25:D25"/>
    <mergeCell ref="A24:D24"/>
    <mergeCell ref="A4:F4"/>
    <mergeCell ref="A3:F3"/>
    <mergeCell ref="A28:D28"/>
    <mergeCell ref="A7:F7"/>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0" customWidth="1" min="1" max="1"/>
    <col width="14" customWidth="1" min="2" max="6"/>
    <col width="26" customWidth="1" min="7" max="7"/>
  </cols>
  <sheetData>
    <row r="1" ht="25.5" customHeight="1">
      <c r="A1" s="64" t="inlineStr">
        <is>
          <t>DEPRECIATION / FORM 4562 OVERRIDE WORKSHEET</t>
        </is>
      </c>
    </row>
    <row r="2" ht="19.5" customHeight="1">
      <c r="A2" s="65" t="inlineStr">
        <is>
          <t>HOW TO USE THIS TAB</t>
        </is>
      </c>
    </row>
    <row r="3" ht="15.75" customHeight="1">
      <c r="A3" s="66" t="inlineStr">
        <is>
          <t>Reconciles federal depreciation to state/AMT depreciation where Axcess will not auto-conform (e.g., states that decouple from federal bonus depreciation, or where luxury-auto and Sec. 179 limits differ by jurisdiction).</t>
        </is>
      </c>
    </row>
    <row r="4" ht="25.5" customHeight="1">
      <c r="A4" s="67" t="inlineStr">
        <is>
          <t>1) One row per asset or asset class that produces a federal-vs-state (or federal-vs-AMT) difference.</t>
        </is>
      </c>
    </row>
    <row r="5" ht="25.5" customHeight="1">
      <c r="A5" s="67" t="inlineStr">
        <is>
          <t>2) Enter Federal Depreciation (as calculated by Axcess Form 4562) and the state's allowed method result (often computed off-system per the state DOR's depreciation schedule, e.g., a state Form 3885A-equivalent).</t>
        </is>
      </c>
    </row>
    <row r="6" ht="25.5" customHeight="1">
      <c r="A6" s="67" t="inlineStr">
        <is>
          <t>3) 'Difference' computes automatically — this is the addition/subtraction modification you enter as an override on the state depreciation adjustment input (varies by state, typically under State &gt; Modifications or the state-specific depreciation schedule input).</t>
        </is>
      </c>
    </row>
    <row r="7" ht="25.5" customHeight="1">
      <c r="A7" s="67" t="inlineStr">
        <is>
          <t>4) For AMT, enter the AMT-computed depreciation separately; the AMT difference feeds Form 6251 (see Tab 9) for the 'Loss limits (Force)' entry if the activity is also subject to basis/at-risk/passive limits.</t>
        </is>
      </c>
    </row>
    <row r="8" ht="25.5" customHeight="1">
      <c r="A8" s="67" t="inlineStr">
        <is>
          <t>5) Always keep the state's own depreciation form (e.g., CA FTB 3885A) as backup documentation attached to the workpapers — Axcess does not generate every state's conformity schedule automatically.</t>
        </is>
      </c>
    </row>
    <row r="9" ht="13.5" customHeight="1">
      <c r="A9" s="68" t="inlineStr">
        <is>
          <t>Source: Example: CA FTB Form 3885A (Depreciation and Amortization Adjustments) — ftb.ca.gov/forms/2022/2022-3885a.pdf</t>
        </is>
      </c>
    </row>
    <row r="10" ht="13.5" customHeight="1">
      <c r="A10" s="68" t="inlineStr">
        <is>
          <t>Source: CCH Axcess Tax Release Notes (search 'depreciation' each release for conformity changes) — support.cch.com/updates/axcess/releasenotes.aspx</t>
        </is>
      </c>
    </row>
    <row r="12" ht="19.5" customHeight="1">
      <c r="A12" s="2" t="inlineStr">
        <is>
          <t>Asset / Asset Class</t>
        </is>
      </c>
      <c r="B12" s="2" t="inlineStr">
        <is>
          <t>Federal Depreciation (per Axcess 4562)</t>
        </is>
      </c>
      <c r="C12" s="2" t="inlineStr">
        <is>
          <t>State Depreciation (computed)</t>
        </is>
      </c>
      <c r="D12" s="2" t="inlineStr">
        <is>
          <t>Difference (State − Federal) — override</t>
        </is>
      </c>
      <c r="E12" s="2" t="inlineStr">
        <is>
          <t>AMT Depreciation (computed)</t>
        </is>
      </c>
      <c r="F12" s="2" t="inlineStr">
        <is>
          <t>AMT Difference (AMT − Federal) — override</t>
        </is>
      </c>
      <c r="G12" s="2" t="inlineStr">
        <is>
          <t>Notes</t>
        </is>
      </c>
    </row>
    <row r="13">
      <c r="A13" s="57" t="n"/>
      <c r="B13" s="3" t="n"/>
      <c r="C13" s="3" t="n"/>
      <c r="D13" s="3">
        <f>C13-B13</f>
        <v/>
      </c>
      <c r="E13" s="3" t="n"/>
      <c r="F13" s="3">
        <f>E13-B13</f>
        <v/>
      </c>
      <c r="G13" s="57" t="n"/>
    </row>
    <row r="14">
      <c r="A14" s="70" t="n"/>
      <c r="B14" s="5" t="n"/>
      <c r="C14" s="5" t="n"/>
      <c r="D14" s="5">
        <f>C14-B14</f>
        <v/>
      </c>
      <c r="E14" s="5" t="n"/>
      <c r="F14" s="5">
        <f>E14-B14</f>
        <v/>
      </c>
      <c r="G14" s="70" t="n"/>
    </row>
    <row r="15">
      <c r="A15" s="57" t="n"/>
      <c r="B15" s="3" t="n"/>
      <c r="C15" s="3" t="n"/>
      <c r="D15" s="3">
        <f>C15-B15</f>
        <v/>
      </c>
      <c r="E15" s="3" t="n"/>
      <c r="F15" s="3">
        <f>E15-B15</f>
        <v/>
      </c>
      <c r="G15" s="57" t="n"/>
    </row>
    <row r="16">
      <c r="A16" s="70" t="n"/>
      <c r="B16" s="5" t="n"/>
      <c r="C16" s="5" t="n"/>
      <c r="D16" s="5">
        <f>C16-B16</f>
        <v/>
      </c>
      <c r="E16" s="5" t="n"/>
      <c r="F16" s="5">
        <f>E16-B16</f>
        <v/>
      </c>
      <c r="G16" s="70" t="n"/>
    </row>
    <row r="17">
      <c r="A17" s="57" t="n"/>
      <c r="B17" s="3" t="n"/>
      <c r="C17" s="3" t="n"/>
      <c r="D17" s="3">
        <f>C17-B17</f>
        <v/>
      </c>
      <c r="E17" s="3" t="n"/>
      <c r="F17" s="3">
        <f>E17-B17</f>
        <v/>
      </c>
      <c r="G17" s="57" t="n"/>
    </row>
    <row r="18">
      <c r="A18" s="70" t="n"/>
      <c r="B18" s="5" t="n"/>
      <c r="C18" s="5" t="n"/>
      <c r="D18" s="5">
        <f>C18-B18</f>
        <v/>
      </c>
      <c r="E18" s="5" t="n"/>
      <c r="F18" s="5">
        <f>E18-B18</f>
        <v/>
      </c>
      <c r="G18" s="70" t="n"/>
    </row>
    <row r="19">
      <c r="A19" s="57" t="n"/>
      <c r="B19" s="3" t="n"/>
      <c r="C19" s="3" t="n"/>
      <c r="D19" s="3">
        <f>C19-B19</f>
        <v/>
      </c>
      <c r="E19" s="3" t="n"/>
      <c r="F19" s="3">
        <f>E19-B19</f>
        <v/>
      </c>
      <c r="G19" s="57" t="n"/>
    </row>
    <row r="20">
      <c r="A20" s="70" t="n"/>
      <c r="B20" s="5" t="n"/>
      <c r="C20" s="5" t="n"/>
      <c r="D20" s="5">
        <f>C20-B20</f>
        <v/>
      </c>
      <c r="E20" s="5" t="n"/>
      <c r="F20" s="5">
        <f>E20-B20</f>
        <v/>
      </c>
      <c r="G20" s="70" t="n"/>
    </row>
    <row r="21">
      <c r="A21" s="57" t="n"/>
      <c r="B21" s="3" t="n"/>
      <c r="C21" s="3" t="n"/>
      <c r="D21" s="3">
        <f>C21-B21</f>
        <v/>
      </c>
      <c r="E21" s="3" t="n"/>
      <c r="F21" s="3">
        <f>E21-B21</f>
        <v/>
      </c>
      <c r="G21" s="57" t="n"/>
    </row>
    <row r="22">
      <c r="A22" s="70" t="n"/>
      <c r="B22" s="5" t="n"/>
      <c r="C22" s="5" t="n"/>
      <c r="D22" s="5">
        <f>C22-B22</f>
        <v/>
      </c>
      <c r="E22" s="5" t="n"/>
      <c r="F22" s="5">
        <f>E22-B22</f>
        <v/>
      </c>
      <c r="G22" s="70" t="n"/>
    </row>
    <row r="23">
      <c r="A23" s="10" t="inlineStr">
        <is>
          <t>TOTAL</t>
        </is>
      </c>
      <c r="B23" s="11">
        <f>SUM(B13:B22)</f>
        <v/>
      </c>
      <c r="C23" s="11">
        <f>SUM(C13:C22)</f>
        <v/>
      </c>
      <c r="D23" s="11">
        <f>SUM(D13:D22)</f>
        <v/>
      </c>
      <c r="E23" s="11">
        <f>SUM(E13:E22)</f>
        <v/>
      </c>
      <c r="F23" s="11">
        <f>SUM(F13:F22)</f>
        <v/>
      </c>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16" customWidth="1" min="1" max="1"/>
    <col width="20" customWidth="1" min="2" max="2"/>
    <col width="18" customWidth="1" min="3" max="5"/>
    <col width="30" customWidth="1" min="6" max="6"/>
  </cols>
  <sheetData>
    <row r="1" ht="25.5" customHeight="1">
      <c r="A1" s="64" t="inlineStr">
        <is>
          <t>MULTI-STATE ALLOCATION &amp; NONRESIDENT CREDIT WORKSHEET</t>
        </is>
      </c>
    </row>
    <row r="2" ht="19.5" customHeight="1">
      <c r="A2" s="65" t="inlineStr">
        <is>
          <t>HOW TO USE THIS TAB</t>
        </is>
      </c>
    </row>
    <row r="3" ht="15.75" customHeight="1">
      <c r="A3" s="66" t="inlineStr">
        <is>
          <t>Builds the source-income allocation percentage for each nonresident/part-year-resident state and the resident credit for taxes paid to other states, for states where Axcess flags that an override to the allocation percentage or the Allocation/Apportionment schedule must be manually prepared and attached.</t>
        </is>
      </c>
    </row>
    <row r="4" ht="25.5" customHeight="1">
      <c r="A4" s="67" t="inlineStr">
        <is>
          <t>1) One row per state. Enter Total Income (federal) and State-Source Income as determined from the K-1 state schedule, W-2 state wages, or apportionment workpaper.</t>
        </is>
      </c>
    </row>
    <row r="5" ht="25.5" customHeight="1">
      <c r="A5" s="67" t="inlineStr">
        <is>
          <t>2) 'Allocation %' computes automatically — enter this on the state return's income allocation input if Axcess's default sourcing doesn't match (common when guaranteed payments or multi-state K-1s are involved).</t>
        </is>
      </c>
    </row>
    <row r="6" ht="25.5" customHeight="1">
      <c r="A6" s="67" t="inlineStr">
        <is>
          <t>3) 'Tax Paid to State (nonresident/PY return)' and 'Resident State Credit Limitation' compute the lesser-of test for the resident credit for taxes paid to other states — enter the limited amount as the credit override on the resident state return if it differs from the Axcess default.</t>
        </is>
      </c>
    </row>
    <row r="7" ht="25.5" customHeight="1">
      <c r="A7" s="67" t="inlineStr">
        <is>
          <t>4) Where a diagnostic states that overrides to nonbusiness source figures require a manually prepared Allocation/Apportionment attachment (seen on composite/nonresident forms in several states), prepare it as a PDF and attach it via the state return's PDF attachment input — Axcess will not generate that schedule for you.</t>
        </is>
      </c>
    </row>
    <row r="8" ht="13.5" customHeight="1">
      <c r="A8" s="68" t="inlineStr">
        <is>
          <t>Source: Passthrough loss/allocation flow and K-1 state sourcing — support.cch.com/kb/solution/000056461</t>
        </is>
      </c>
    </row>
    <row r="9" ht="13.5" customHeight="1">
      <c r="A9" s="68" t="inlineStr">
        <is>
          <t>Source: Example diagnostic text requiring manual Allocation/Apportionment attachment (nonresident/composite forms) — accountants.intuit.com/community/lacerte-diagnostics/26115</t>
        </is>
      </c>
    </row>
    <row r="11" ht="30" customHeight="1">
      <c r="A11" s="2" t="inlineStr">
        <is>
          <t>State</t>
        </is>
      </c>
      <c r="B11" s="2" t="inlineStr">
        <is>
          <t>Total Federal Income</t>
        </is>
      </c>
      <c r="C11" s="2" t="inlineStr">
        <is>
          <t>State-Source Income</t>
        </is>
      </c>
      <c r="D11" s="2" t="inlineStr">
        <is>
          <t>Allocation % (override input)</t>
        </is>
      </c>
      <c r="E11" s="2" t="inlineStr">
        <is>
          <t>Tax Paid to Nonresident State</t>
        </is>
      </c>
      <c r="F11" s="2" t="inlineStr">
        <is>
          <t>Resident Credit Limitation (lesser of tax paid or resident tax × alloc %)</t>
        </is>
      </c>
      <c r="G11" s="101" t="inlineStr">
        <is>
          <t>Resident-State Tax Before Credit (input)</t>
        </is>
      </c>
    </row>
    <row r="12">
      <c r="A12" s="57" t="n"/>
      <c r="B12" s="3" t="n"/>
      <c r="C12" s="3" t="n"/>
      <c r="D12" s="12">
        <f>IF(B12=0,0,C12/B12)</f>
        <v/>
      </c>
      <c r="E12" s="3" t="n"/>
      <c r="F12" s="3">
        <f>MIN(E12,G12*D12)</f>
        <v/>
      </c>
    </row>
    <row r="13">
      <c r="A13" s="70" t="n"/>
      <c r="B13" s="5" t="n"/>
      <c r="C13" s="5" t="n"/>
      <c r="D13" s="13">
        <f>IF(B13=0,0,C13/B13)</f>
        <v/>
      </c>
      <c r="E13" s="5" t="n"/>
      <c r="F13" s="5">
        <f>MIN(E13,G13*D13)</f>
        <v/>
      </c>
    </row>
    <row r="14">
      <c r="A14" s="57" t="n"/>
      <c r="B14" s="3" t="n"/>
      <c r="C14" s="3" t="n"/>
      <c r="D14" s="12">
        <f>IF(B14=0,0,C14/B14)</f>
        <v/>
      </c>
      <c r="E14" s="3" t="n"/>
      <c r="F14" s="3">
        <f>MIN(E14,G14*D14)</f>
        <v/>
      </c>
    </row>
    <row r="15">
      <c r="A15" s="70" t="n"/>
      <c r="B15" s="5" t="n"/>
      <c r="C15" s="5" t="n"/>
      <c r="D15" s="13">
        <f>IF(B15=0,0,C15/B15)</f>
        <v/>
      </c>
      <c r="E15" s="5" t="n"/>
      <c r="F15" s="5">
        <f>MIN(E15,G15*D15)</f>
        <v/>
      </c>
    </row>
    <row r="16">
      <c r="A16" s="57" t="n"/>
      <c r="B16" s="3" t="n"/>
      <c r="C16" s="3" t="n"/>
      <c r="D16" s="12">
        <f>IF(B16=0,0,C16/B16)</f>
        <v/>
      </c>
      <c r="E16" s="3" t="n"/>
      <c r="F16" s="3">
        <f>MIN(E16,G16*D16)</f>
        <v/>
      </c>
    </row>
    <row r="17">
      <c r="A17" s="70" t="n"/>
      <c r="B17" s="5" t="n"/>
      <c r="C17" s="5" t="n"/>
      <c r="D17" s="13">
        <f>IF(B17=0,0,C17/B17)</f>
        <v/>
      </c>
      <c r="E17" s="5" t="n"/>
      <c r="F17" s="5">
        <f>MIN(E17,G17*D17)</f>
        <v/>
      </c>
    </row>
    <row r="18">
      <c r="A18" s="57" t="n"/>
      <c r="B18" s="3" t="n"/>
      <c r="C18" s="3" t="n"/>
      <c r="D18" s="12">
        <f>IF(B18=0,0,C18/B18)</f>
        <v/>
      </c>
      <c r="E18" s="3" t="n"/>
      <c r="F18" s="3">
        <f>MIN(E18,G18*D18)</f>
        <v/>
      </c>
    </row>
    <row r="19">
      <c r="A19" s="70" t="n"/>
      <c r="B19" s="5" t="n"/>
      <c r="C19" s="5" t="n"/>
      <c r="D19" s="13">
        <f>IF(B19=0,0,C19/B19)</f>
        <v/>
      </c>
      <c r="E19" s="5" t="n"/>
      <c r="F19" s="5">
        <f>MIN(E19,G19*D19)</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F28"/>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UNDERPAYMENT OF ESTIMATED TAX — FORM 2210 SAFE HARBOR CHECK</t>
        </is>
      </c>
    </row>
    <row r="2" ht="19.5" customHeight="1">
      <c r="A2" s="65" t="inlineStr">
        <is>
          <t>HOW TO USE THIS TAB</t>
        </is>
      </c>
    </row>
    <row r="3" ht="15.75" customHeight="1">
      <c r="A3" s="66" t="inlineStr">
        <is>
          <t>Documents the safe-harbor test behind a Form 2210 penalty override/waiver, or an annualized-income-method election, before it is forced in Axcess (General &gt; Payments &gt; Penalties and Interest &gt; Form 2210 section).</t>
        </is>
      </c>
    </row>
    <row r="4" ht="25.5" customHeight="1">
      <c r="A4" s="67" t="inlineStr">
        <is>
          <t>1) Enter Current-Year Tax (after credits), Current-Year Withholding, and Prior-Year Tax / Prior-Year AGI in the tan cells.</t>
        </is>
      </c>
    </row>
    <row r="5" ht="25.5" customHeight="1">
      <c r="A5" s="67" t="inlineStr">
        <is>
          <t>2) The worksheet computes the 90% current-year and 100%/110% prior-year safe harbors (110% applies when prior-year AGI exceeds $150,000, or $75,000 MFS) and flags whether a safe harbor is met.</t>
        </is>
      </c>
    </row>
    <row r="6" ht="25.5" customHeight="1">
      <c r="A6" s="67" t="inlineStr">
        <is>
          <t>3) If NO safe harbor is met, compute the required annual payment and compare to actual timely payments by quarter (rows below) to see if the annualized income installment method (Schedule AI) would reduce or eliminate the penalty before you override the Axcess-calculated penalty.</t>
        </is>
      </c>
    </row>
    <row r="7" ht="25.5" customHeight="1">
      <c r="A7" s="67" t="inlineStr">
        <is>
          <t>4) Enter the final penalty amount (or $0 if a waiver/safe harbor applies) as the override on the Penalties and Interest input, and check the appropriate waiver box (e.g., disaster relief, retirement/disability) if applicable.</t>
        </is>
      </c>
    </row>
    <row r="8" ht="25.5" customHeight="1">
      <c r="A8" s="67" t="inlineStr">
        <is>
          <t>5) State conformity varies — some states use 80% rather than 90%, or different AGI thresholds; verify each state's Form 2210-equivalent before overriding a state penalty.</t>
        </is>
      </c>
    </row>
    <row r="9" ht="13.5" customHeight="1">
      <c r="A9" s="68" t="inlineStr">
        <is>
          <t>Source: IRS Instructions for Form 2210 — irs.gov/instructions/i2210</t>
        </is>
      </c>
    </row>
    <row r="10" ht="13.5" customHeight="1">
      <c r="A10" s="68" t="inlineStr">
        <is>
          <t>Source: CCH Axcess Tax 2018-3.3 Release Notes — penalty relief safe-harbor % change example — support.cch.com/axcess/releasenotes/tax/CCH Axcess Tax 2018-3.3 Release Notes.pdf</t>
        </is>
      </c>
    </row>
    <row r="12" ht="25.5" customHeight="1">
      <c r="A12" s="58" t="inlineStr">
        <is>
          <t>Current-Year Tax (after credits)</t>
        </is>
      </c>
      <c r="B12" s="97" t="n"/>
      <c r="C12" s="97" t="n"/>
      <c r="D12" s="96" t="n"/>
      <c r="E12" s="3" t="n"/>
      <c r="F12" s="57" t="n"/>
    </row>
    <row r="13" ht="25.5" customHeight="1">
      <c r="A13" s="71" t="inlineStr">
        <is>
          <t>90% of Current-Year Tax</t>
        </is>
      </c>
      <c r="B13" s="97" t="n"/>
      <c r="C13" s="97" t="n"/>
      <c r="D13" s="96" t="n"/>
      <c r="E13" s="5">
        <f>E12*0.9</f>
        <v/>
      </c>
      <c r="F13" s="70" t="n"/>
    </row>
    <row r="14" ht="25.5" customHeight="1">
      <c r="A14" s="58" t="inlineStr">
        <is>
          <t>Prior-Year AGI</t>
        </is>
      </c>
      <c r="B14" s="97" t="n"/>
      <c r="C14" s="97" t="n"/>
      <c r="D14" s="96" t="n"/>
      <c r="E14" s="3" t="n"/>
      <c r="F14" s="57" t="n"/>
    </row>
    <row r="15" ht="25.5" customHeight="1">
      <c r="A15" s="71" t="inlineStr">
        <is>
          <t>Prior-Year Tax</t>
        </is>
      </c>
      <c r="B15" s="97" t="n"/>
      <c r="C15" s="97" t="n"/>
      <c r="D15" s="96" t="n"/>
      <c r="E15" s="5" t="n"/>
      <c r="F15" s="70" t="n"/>
    </row>
    <row r="16" ht="25.5" customHeight="1">
      <c r="A16" s="58" t="inlineStr">
        <is>
          <t>Safe-Harbor % (100% normally; 110% if Prior-Year AGI &gt; $150,000 / $75,000 MFS)</t>
        </is>
      </c>
      <c r="B16" s="97" t="n"/>
      <c r="C16" s="97" t="n"/>
      <c r="D16" s="96" t="n"/>
      <c r="E16" s="14">
        <f>IF(E14&gt;150000,1.1,1)</f>
        <v/>
      </c>
      <c r="F16" s="57" t="n"/>
    </row>
    <row r="17" ht="25.5" customHeight="1">
      <c r="A17" s="71" t="inlineStr">
        <is>
          <t>Prior-Year Safe Harbor Amount</t>
        </is>
      </c>
      <c r="B17" s="97" t="n"/>
      <c r="C17" s="97" t="n"/>
      <c r="D17" s="96" t="n"/>
      <c r="E17" s="5">
        <f>E15*E16</f>
        <v/>
      </c>
      <c r="F17" s="70" t="n"/>
    </row>
    <row r="18" ht="25.5" customHeight="1">
      <c r="A18" s="58" t="inlineStr">
        <is>
          <t>Required Annual Payment (LESSER of 90% current-year or prior-year safe harbor)</t>
        </is>
      </c>
      <c r="B18" s="97" t="n"/>
      <c r="C18" s="97" t="n"/>
      <c r="D18" s="96" t="n"/>
      <c r="E18" s="3">
        <f>MIN(E13,E17)</f>
        <v/>
      </c>
      <c r="F18" s="57" t="n"/>
    </row>
    <row r="19" ht="25.5" customHeight="1">
      <c r="A19" s="71" t="inlineStr">
        <is>
          <t>Total Withholding + Timely Estimated Payments</t>
        </is>
      </c>
      <c r="B19" s="97" t="n"/>
      <c r="C19" s="97" t="n"/>
      <c r="D19" s="96" t="n"/>
      <c r="E19" s="5" t="n"/>
      <c r="F19" s="70" t="n"/>
    </row>
    <row r="20" ht="25.5" customHeight="1">
      <c r="A20" s="58" t="inlineStr">
        <is>
          <t>Underpayment (Required Payment − Payments)</t>
        </is>
      </c>
      <c r="B20" s="97" t="n"/>
      <c r="C20" s="97" t="n"/>
      <c r="D20" s="96" t="n"/>
      <c r="E20" s="3">
        <f>MAX(0,E18-E19)</f>
        <v/>
      </c>
      <c r="F20" s="57" t="n"/>
    </row>
    <row r="21" ht="25.5" customHeight="1">
      <c r="A21" s="71" t="inlineStr">
        <is>
          <t>SAFE HARBOR MET? (Yes if Underpayment = 0)</t>
        </is>
      </c>
      <c r="B21" s="97" t="n"/>
      <c r="C21" s="97" t="n"/>
      <c r="D21" s="96" t="n"/>
      <c r="E21" s="70">
        <f>IF(E20=0,"YES — no penalty override needed","NO — compute penalty or consider annualized method")</f>
        <v/>
      </c>
      <c r="F21" s="70" t="n"/>
    </row>
    <row r="23" ht="18" customHeight="1">
      <c r="A23" s="69" t="inlineStr">
        <is>
          <t>Quarterly Payment Detail (for Schedule AI / annualized-method comparison)</t>
        </is>
      </c>
    </row>
    <row r="24" ht="25.5" customHeight="1">
      <c r="A24" s="2" t="inlineStr">
        <is>
          <t>Quarter (Due Date)</t>
        </is>
      </c>
      <c r="B24" s="2" t="inlineStr">
        <is>
          <t>Required Installment (25% each, std. method)</t>
        </is>
      </c>
      <c r="C24" s="2" t="inlineStr">
        <is>
          <t>Amount Paid</t>
        </is>
      </c>
      <c r="D24" s="2" t="inlineStr">
        <is>
          <t>Paid Timely? (Y/N)</t>
        </is>
      </c>
      <c r="E24" s="2" t="inlineStr">
        <is>
          <t>Shortfall</t>
        </is>
      </c>
      <c r="F24" s="2" t="inlineStr">
        <is>
          <t>Notes</t>
        </is>
      </c>
    </row>
    <row r="25">
      <c r="A25" s="57" t="inlineStr">
        <is>
          <t>Q1 (4/15)</t>
        </is>
      </c>
      <c r="B25" s="3">
        <f>$E$18*0.25</f>
        <v/>
      </c>
      <c r="C25" s="3" t="n"/>
      <c r="D25" s="57" t="n"/>
      <c r="E25" s="3">
        <f>MAX(0,B25-C25)</f>
        <v/>
      </c>
      <c r="F25" s="57" t="n"/>
    </row>
    <row r="26">
      <c r="A26" s="70" t="inlineStr">
        <is>
          <t>Q2 (6/15)</t>
        </is>
      </c>
      <c r="B26" s="5">
        <f>$E$18*0.25</f>
        <v/>
      </c>
      <c r="C26" s="5" t="n"/>
      <c r="D26" s="70" t="n"/>
      <c r="E26" s="5">
        <f>MAX(0,B26-C26)</f>
        <v/>
      </c>
      <c r="F26" s="70" t="n"/>
    </row>
    <row r="27">
      <c r="A27" s="57" t="inlineStr">
        <is>
          <t>Q3 (9/15)</t>
        </is>
      </c>
      <c r="B27" s="3">
        <f>$E$18*0.25</f>
        <v/>
      </c>
      <c r="C27" s="3" t="n"/>
      <c r="D27" s="57" t="n"/>
      <c r="E27" s="3">
        <f>MAX(0,B27-C27)</f>
        <v/>
      </c>
      <c r="F27" s="57" t="n"/>
    </row>
    <row r="28">
      <c r="A28" s="70" t="inlineStr">
        <is>
          <t>Q4 (1/15 following yr)</t>
        </is>
      </c>
      <c r="B28" s="5">
        <f>$E$18*0.25</f>
        <v/>
      </c>
      <c r="C28" s="5" t="n"/>
      <c r="D28" s="70" t="n"/>
      <c r="E28" s="5">
        <f>MAX(0,B28-C28)</f>
        <v/>
      </c>
      <c r="F28" s="70" t="n"/>
    </row>
  </sheetData>
  <mergeCells count="21">
    <mergeCell ref="A17:D17"/>
    <mergeCell ref="A20:D20"/>
    <mergeCell ref="A19:D19"/>
    <mergeCell ref="A3:F3"/>
    <mergeCell ref="A13:D13"/>
    <mergeCell ref="A2:F2"/>
    <mergeCell ref="A5:F5"/>
    <mergeCell ref="A23:F23"/>
    <mergeCell ref="A8:F8"/>
    <mergeCell ref="A15:D15"/>
    <mergeCell ref="A4:F4"/>
    <mergeCell ref="A10:F10"/>
    <mergeCell ref="A9:F9"/>
    <mergeCell ref="A16:D16"/>
    <mergeCell ref="A18:D18"/>
    <mergeCell ref="A12:D12"/>
    <mergeCell ref="A1:F1"/>
    <mergeCell ref="A21:D21"/>
    <mergeCell ref="A6:F6"/>
    <mergeCell ref="A7:F7"/>
    <mergeCell ref="A14:D14"/>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F2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2" customWidth="1" min="1" max="1"/>
    <col width="16" customWidth="1" min="2" max="5"/>
    <col width="30" customWidth="1" min="6" max="6"/>
  </cols>
  <sheetData>
    <row r="1" ht="25.5" customHeight="1">
      <c r="A1" s="64" t="inlineStr">
        <is>
          <t>AMT PASSIVE / LOSS-LIMITATION ADJUSTMENT WORKSHEET — FORM 6251</t>
        </is>
      </c>
    </row>
    <row r="2" ht="19.5" customHeight="1">
      <c r="A2" s="65" t="inlineStr">
        <is>
          <t>HOW TO USE THIS TAB</t>
        </is>
      </c>
    </row>
    <row r="3" ht="15.75" customHeight="1">
      <c r="A3" s="66" t="inlineStr">
        <is>
          <t>Recomputes basis/at-risk/passive-loss allowed amounts under AMT rules (different depreciation, no NOL add-back differences, etc.) to support the 'Loss limits (Force)' override on Form 6251, line 2n, when Axcess's automatic AMT recalculation of an activity's allowed loss needs to be overridden.</t>
        </is>
      </c>
    </row>
    <row r="4" ht="25.5" customHeight="1">
      <c r="A4" s="67" t="inlineStr">
        <is>
          <t>1) One row per activity with an AMT preference/adjustment item (depreciation, installment sales, long-term contracts, mining costs, patron's adjustment, depletion) that also carries basis/at-risk/passive limitations.</t>
        </is>
      </c>
    </row>
    <row r="5" ht="25.5" customHeight="1">
      <c r="A5" s="67" t="inlineStr">
        <is>
          <t>2) Enter Regular-Tax Allowed Loss (from Tabs 3–5) and AMT-Basis Allowed Loss (recomputed using AMT depreciation from Tab 6 and the same basis/at-risk/passive tests run under AMT figures).</t>
        </is>
      </c>
    </row>
    <row r="6" ht="25.5" customHeight="1">
      <c r="A6" s="67" t="inlineStr">
        <is>
          <t>3) 'AMT Adjustment (2n)' computes the difference — Form 6251 instructions require this reported as a negative number when the AMT loss exceeds the regular-tax loss, or when there's an AMT loss but a regular-tax gain.</t>
        </is>
      </c>
    </row>
    <row r="7" ht="25.5" customHeight="1">
      <c r="A7" s="67" t="inlineStr">
        <is>
          <t>4) Gain/loss adjustments from Schedule D, Form 4684, or Form 4797 for the SAME activities are reported separately on Form 6251, line 2k — do not double-count them here; only loss-limitation-driven differences go on 2n.</t>
        </is>
      </c>
    </row>
    <row r="8" ht="25.5" customHeight="1">
      <c r="A8" s="67" t="inlineStr">
        <is>
          <t>5) Enter the total from column D as the override in the 'Loss limits (Force)' field on the AMT input screen.</t>
        </is>
      </c>
    </row>
    <row r="9" ht="13.5" customHeight="1">
      <c r="A9" s="68" t="inlineStr">
        <is>
          <t>Source: Form 6251 lines 2k, 2l, 2m, and 2n calculation logic (K-1 Reconciliation – AMT Worksheet) — thomsonreuters.com/en-us/help/ultratax-cs/1040/calculations/form-6251-lines-2k-2l-2m-and-2n-calculation.html</t>
        </is>
      </c>
    </row>
    <row r="10" ht="13.5" customHeight="1">
      <c r="A10" s="68" t="inlineStr">
        <is>
          <t>Source: IRS Instructions for Form 6251 — irs.gov/instructions/i6251</t>
        </is>
      </c>
    </row>
    <row r="12" ht="30" customHeight="1">
      <c r="A12" s="2" t="inlineStr">
        <is>
          <t>Activity</t>
        </is>
      </c>
      <c r="B12" s="2" t="inlineStr">
        <is>
          <t>Regular-Tax Allowed Loss (from Tabs 3-5)</t>
        </is>
      </c>
      <c r="C12" s="2" t="inlineStr">
        <is>
          <t>AMT-Basis Allowed Loss (recomputed)</t>
        </is>
      </c>
      <c r="D12" s="2" t="inlineStr">
        <is>
          <t>AMT Adjustment — Line 2n (override)</t>
        </is>
      </c>
      <c r="E12" s="2" t="inlineStr">
        <is>
          <t>Line 2k Gain/Loss Adjustment (Sch D/4797/4684, separate)</t>
        </is>
      </c>
      <c r="F12" s="2" t="inlineStr">
        <is>
          <t>Notes</t>
        </is>
      </c>
    </row>
    <row r="13">
      <c r="A13" s="57" t="n"/>
      <c r="B13" s="3" t="n"/>
      <c r="C13" s="3" t="n"/>
      <c r="D13" s="3">
        <f>C13-B13</f>
        <v/>
      </c>
      <c r="E13" s="3" t="n"/>
      <c r="F13" s="57" t="n"/>
    </row>
    <row r="14">
      <c r="A14" s="70" t="n"/>
      <c r="B14" s="5" t="n"/>
      <c r="C14" s="5" t="n"/>
      <c r="D14" s="5">
        <f>C14-B14</f>
        <v/>
      </c>
      <c r="E14" s="5" t="n"/>
      <c r="F14" s="70" t="n"/>
    </row>
    <row r="15">
      <c r="A15" s="57" t="n"/>
      <c r="B15" s="3" t="n"/>
      <c r="C15" s="3" t="n"/>
      <c r="D15" s="3">
        <f>C15-B15</f>
        <v/>
      </c>
      <c r="E15" s="3" t="n"/>
      <c r="F15" s="57" t="n"/>
    </row>
    <row r="16">
      <c r="A16" s="70" t="n"/>
      <c r="B16" s="5" t="n"/>
      <c r="C16" s="5" t="n"/>
      <c r="D16" s="5">
        <f>C16-B16</f>
        <v/>
      </c>
      <c r="E16" s="5" t="n"/>
      <c r="F16" s="70" t="n"/>
    </row>
    <row r="17">
      <c r="A17" s="57" t="n"/>
      <c r="B17" s="3" t="n"/>
      <c r="C17" s="3" t="n"/>
      <c r="D17" s="3">
        <f>C17-B17</f>
        <v/>
      </c>
      <c r="E17" s="3" t="n"/>
      <c r="F17" s="57" t="n"/>
    </row>
    <row r="18">
      <c r="A18" s="70" t="n"/>
      <c r="B18" s="5" t="n"/>
      <c r="C18" s="5" t="n"/>
      <c r="D18" s="5">
        <f>C18-B18</f>
        <v/>
      </c>
      <c r="E18" s="5" t="n"/>
      <c r="F18" s="70" t="n"/>
    </row>
    <row r="19">
      <c r="A19" s="57" t="n"/>
      <c r="B19" s="3" t="n"/>
      <c r="C19" s="3" t="n"/>
      <c r="D19" s="3">
        <f>C19-B19</f>
        <v/>
      </c>
      <c r="E19" s="3" t="n"/>
      <c r="F19" s="57" t="n"/>
    </row>
    <row r="20">
      <c r="A20" s="70" t="n"/>
      <c r="B20" s="5" t="n"/>
      <c r="C20" s="5" t="n"/>
      <c r="D20" s="5">
        <f>C20-B20</f>
        <v/>
      </c>
      <c r="E20" s="5" t="n"/>
      <c r="F20" s="70" t="n"/>
    </row>
    <row r="21">
      <c r="A21" s="10" t="inlineStr">
        <is>
          <t>TOTAL — Line 2n Override</t>
        </is>
      </c>
      <c r="B21" s="11">
        <f>SUM(B13:B20)</f>
        <v/>
      </c>
      <c r="C21" s="11">
        <f>SUM(C13:C20)</f>
        <v/>
      </c>
      <c r="D21" s="11">
        <f>SUM(D13:D20)</f>
        <v/>
      </c>
      <c r="E21" s="11">
        <f>SUM(E13:E20)</f>
        <v/>
      </c>
      <c r="F21" s="10" t="n"/>
    </row>
  </sheetData>
  <mergeCells count="10">
    <mergeCell ref="A2:F2"/>
    <mergeCell ref="A10:F10"/>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E17"/>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34" customWidth="1" min="1" max="1"/>
    <col width="18" customWidth="1" min="2" max="4"/>
    <col width="30" customWidth="1" min="5" max="5"/>
  </cols>
  <sheetData>
    <row r="1" ht="25.5" customHeight="1">
      <c r="A1" s="64" t="inlineStr">
        <is>
          <t>CAPITAL LOSS CARRYOVER RECONCILIATION</t>
        </is>
      </c>
    </row>
    <row r="2" ht="19.5" customHeight="1">
      <c r="A2" s="65" t="inlineStr">
        <is>
          <t>HOW TO USE THIS TAB</t>
        </is>
      </c>
    </row>
    <row r="3" ht="15.75" customHeight="1">
      <c r="A3" s="66" t="inlineStr">
        <is>
          <t>Ties the prior-year Schedule D capital loss carryover to the amount entered/overridden on the current-year Schedule D Capital Loss Carryover worksheet in Axcess — a very common source of a manual override when a return is a first-year client (no prior Axcess proforma) or the prior preparer's carryover schedule must be re-derived.</t>
        </is>
      </c>
    </row>
    <row r="4" ht="25.5" customHeight="1">
      <c r="A4" s="67" t="inlineStr">
        <is>
          <t>1) Enter the Prior-Year Schedule D, Line 16 (net capital loss) and Line 21 (loss actually deducted, limited to $3,000 / $1,500 MFS) from the prior-year return.</t>
        </is>
      </c>
    </row>
    <row r="5" ht="25.5" customHeight="1">
      <c r="A5" s="67" t="inlineStr">
        <is>
          <t>2) Short-term and long-term carryovers are tracked separately because the $3,000 deduction absorbs short-term losses first under the Schedule D Tax Worksheet ordering rules — enter the prior-year ST and LT loss components.</t>
        </is>
      </c>
    </row>
    <row r="6" ht="25.5" customHeight="1">
      <c r="A6" s="67" t="inlineStr">
        <is>
          <t>3) The worksheet computes the ST and LT carryover to the current year; enter these as the ST/LT Capital Loss Carryover override on Schedule D &gt; Carryovers if Axcess did not proforma the correct amount (e.g., a new client or a prior-year amended return changed the loss).</t>
        </is>
      </c>
    </row>
    <row r="7" ht="25.5" customHeight="1">
      <c r="A7" s="67" t="inlineStr">
        <is>
          <t>4) Attach the prior-year Schedule D Line 16/21 detail and the Capital Loss Carryover Worksheet from the prior return's instructions as backup.</t>
        </is>
      </c>
    </row>
    <row r="8" ht="13.5" customHeight="1">
      <c r="A8" s="68" t="inlineStr">
        <is>
          <t>Source: IRS Schedule D Instructions — Capital Loss Carryover Worksheet — irs.gov/instructions/i1040sd</t>
        </is>
      </c>
    </row>
    <row r="10" ht="25.5" customHeight="1">
      <c r="A10" s="58" t="inlineStr">
        <is>
          <t>Prior-Year Schedule D, Line 21 (allowable loss, max $3,000 / $1,500 MFS)</t>
        </is>
      </c>
      <c r="B10" s="97" t="n"/>
      <c r="C10" s="96" t="n"/>
      <c r="D10" s="3" t="n"/>
      <c r="E10" s="57" t="n"/>
    </row>
    <row r="11" ht="25.5" customHeight="1">
      <c r="A11" s="71" t="inlineStr">
        <is>
          <t>Prior-Year Short-Term Net Loss (before $3,000 limit)</t>
        </is>
      </c>
      <c r="B11" s="97" t="n"/>
      <c r="C11" s="96" t="n"/>
      <c r="D11" s="5" t="n"/>
      <c r="E11" s="70" t="n"/>
    </row>
    <row r="12" ht="25.5" customHeight="1">
      <c r="A12" s="58" t="inlineStr">
        <is>
          <t>Prior-Year Long-Term Net Loss (before $3,000 limit)</t>
        </is>
      </c>
      <c r="B12" s="97" t="n"/>
      <c r="C12" s="96" t="n"/>
      <c r="D12" s="3" t="n"/>
      <c r="E12" s="57" t="n"/>
    </row>
    <row r="13" ht="25.5" customHeight="1">
      <c r="A13" s="71" t="inlineStr">
        <is>
          <t>Total Prior-Year Net Loss (ST + LT)</t>
        </is>
      </c>
      <c r="B13" s="97" t="n"/>
      <c r="C13" s="96" t="n"/>
      <c r="D13" s="5">
        <f>D11+D12</f>
        <v/>
      </c>
      <c r="E13" s="70" t="n"/>
    </row>
    <row r="14" ht="25.5" customHeight="1">
      <c r="A14" s="58" t="inlineStr">
        <is>
          <t>Short-Term Loss Absorbed by Current Deduction (ST used first)</t>
        </is>
      </c>
      <c r="B14" s="97" t="n"/>
      <c r="C14" s="96" t="n"/>
      <c r="D14" s="3">
        <f>MIN(D11,D10)</f>
        <v/>
      </c>
      <c r="E14" s="57" t="n"/>
    </row>
    <row r="15" ht="25.5" customHeight="1">
      <c r="A15" s="71" t="inlineStr">
        <is>
          <t>Long-Term Loss Absorbed by Current Deduction (remainder)</t>
        </is>
      </c>
      <c r="B15" s="97" t="n"/>
      <c r="C15" s="96" t="n"/>
      <c r="D15" s="5">
        <f>MAX(0,D10-D14)</f>
        <v/>
      </c>
      <c r="E15" s="70" t="n"/>
    </row>
    <row r="16" ht="25.5" customHeight="1">
      <c r="A16" s="58" t="inlineStr">
        <is>
          <t>SHORT-TERM CARRYOVER TO CURRENT YEAR — enter as override</t>
        </is>
      </c>
      <c r="B16" s="97" t="n"/>
      <c r="C16" s="96" t="n"/>
      <c r="D16" s="15">
        <f>MAX(0,D11-D14)</f>
        <v/>
      </c>
      <c r="E16" s="57" t="n"/>
    </row>
    <row r="17" ht="25.5" customHeight="1">
      <c r="A17" s="71" t="inlineStr">
        <is>
          <t>LONG-TERM CARRYOVER TO CURRENT YEAR — enter as override</t>
        </is>
      </c>
      <c r="B17" s="97" t="n"/>
      <c r="C17" s="96" t="n"/>
      <c r="D17" s="15">
        <f>MAX(0,D12-D15)</f>
        <v/>
      </c>
      <c r="E17" s="70" t="n"/>
    </row>
  </sheetData>
  <mergeCells count="16">
    <mergeCell ref="A10:C10"/>
    <mergeCell ref="A4:E4"/>
    <mergeCell ref="A13:C13"/>
    <mergeCell ref="A11:C11"/>
    <mergeCell ref="A2:E2"/>
    <mergeCell ref="A7:E7"/>
    <mergeCell ref="A14:C14"/>
    <mergeCell ref="A17:C17"/>
    <mergeCell ref="A3:E3"/>
    <mergeCell ref="A1:E1"/>
    <mergeCell ref="A5:E5"/>
    <mergeCell ref="A8:E8"/>
    <mergeCell ref="A12:C12"/>
    <mergeCell ref="A6:E6"/>
    <mergeCell ref="A16:C16"/>
    <mergeCell ref="A15:C15"/>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H23"/>
  <sheetViews>
    <sheetView showGridLines="0" zoomScaleNormal="100" workbookViewId="0">
      <pane ySplit="15" topLeftCell="A16"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7"/>
    <col width="26" customWidth="1" min="8" max="8"/>
  </cols>
  <sheetData>
    <row r="1" ht="25.5" customHeight="1">
      <c r="A1" s="64" t="inlineStr">
        <is>
          <t>PARTNERSHIP HOT ASSETS &amp; MIXING-BOWL TRACKER (§751(b) / §704(c) / §737 / §752(b))</t>
        </is>
      </c>
    </row>
    <row r="2" ht="19.5" customHeight="1">
      <c r="A2" s="65" t="inlineStr">
        <is>
          <t>HOW TO USE THIS TAB</t>
        </is>
      </c>
    </row>
    <row r="3" ht="15.75" customHeight="1">
      <c r="A3" s="66" t="inlineStr">
        <is>
          <t>Tracks disproportionate distributions of unrealized receivables/inventory (§751(b)), contributed built-in-gain property distributed to another partner within 7 years (§704(c)(1)(B)/§737), and debt-shift deemed distributions (§752(b)) — none of which Axcess can detect from a single-year K-1 entry.</t>
        </is>
      </c>
    </row>
    <row r="4" ht="25.5" customHeight="1">
      <c r="A4" s="67" t="inlineStr">
        <is>
          <t>1) One row per partner per triggering event (a distribution, a property re-distribution inside the 7-year window, or a net decrease in the partner's share of partnership liabilities).</t>
        </is>
      </c>
    </row>
    <row r="5" ht="25.5" customHeight="1">
      <c r="A5" s="67" t="inlineStr">
        <is>
          <t>2) For §751(b): enter the partner's Pre-Distribution Share and Post-Distribution Share of hot assets (unrealized receivables + substantially appreciated inventory); the difference is the deemed-sale ordinary gain.</t>
        </is>
      </c>
    </row>
    <row r="6" ht="25.5" customHeight="1">
      <c r="A6" s="67" t="inlineStr">
        <is>
          <t>3) For §704(c)(1)(B)/§737: enter the contributing partner's original Built-In Gain at contribution and the FMV/basis at the later distribution date (must be within 7 years of the original contribution to trigger).</t>
        </is>
      </c>
    </row>
    <row r="7" ht="25.5" customHeight="1">
      <c r="A7" s="67" t="inlineStr">
        <is>
          <t>4) For §752(b): enter the Prior-Year and Current-Year share of partnership liabilities; a net decrease that exceeds remaining basis is a deemed cash distribution and triggers gain.</t>
        </is>
      </c>
    </row>
    <row r="8" ht="25.5" customHeight="1">
      <c r="A8" s="67" t="inlineStr">
        <is>
          <t>5) 'Gain to Report' sums the applicable triggered amounts. Increase the partner's Schedule E / K-1 Ordinary Income (or Schedule D capital gain, per asset character) input in Axcess by this amount, and make an offsetting Other Increase entry on the K-1 Basis Limitation worksheet (Tab 3) so basis and the distribution don't double-count.</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Passthrough loss/basis limitation flow in Axcess — support.cch.com/kb/solution/000056461</t>
        </is>
      </c>
    </row>
    <row r="11" ht="13.5" customHeight="1">
      <c r="A11" s="68" t="inlineStr">
        <is>
          <t>Source: IRC §751 — Unrealized receivables and inventory items — law.cornell.edu/uscode/text/26/751</t>
        </is>
      </c>
    </row>
    <row r="12" ht="13.5" customHeight="1">
      <c r="A12" s="68" t="inlineStr">
        <is>
          <t>Source: IRC §704 — Partner's distributive share — law.cornell.edu/uscode/text/26/704</t>
        </is>
      </c>
    </row>
    <row r="13" ht="13.5" customHeight="1">
      <c r="A13" s="68" t="inlineStr">
        <is>
          <t>Source: IRC §737 — Recognition of precontribution gain — law.cornell.edu/uscode/text/26/737</t>
        </is>
      </c>
    </row>
    <row r="15" ht="30" customHeight="1">
      <c r="A15" s="2" t="inlineStr">
        <is>
          <t>Partner / Activity</t>
        </is>
      </c>
      <c r="B15" s="2" t="inlineStr">
        <is>
          <t>Event Type (751b / 704c-737 / 752b)</t>
        </is>
      </c>
      <c r="C15" s="2" t="inlineStr">
        <is>
          <t>Pre-Event Basis or Share</t>
        </is>
      </c>
      <c r="D15" s="2" t="inlineStr">
        <is>
          <t>Post-Event Basis or Share (or triggering FMV)</t>
        </is>
      </c>
      <c r="E15" s="2" t="inlineStr">
        <is>
          <t>Prior-Year Liability Share (752b only)</t>
        </is>
      </c>
      <c r="F15" s="2" t="inlineStr">
        <is>
          <t>Current-Year Liability Share (752b only)</t>
        </is>
      </c>
      <c r="G15" s="2" t="inlineStr">
        <is>
          <t>Gain to Report (override input on K-1 income line)</t>
        </is>
      </c>
      <c r="H15" s="2" t="inlineStr">
        <is>
          <t>Notes</t>
        </is>
      </c>
    </row>
    <row r="16">
      <c r="A16" s="57" t="n"/>
      <c r="B16" s="3" t="n"/>
      <c r="C16" s="3" t="n"/>
      <c r="D16" s="3" t="n"/>
      <c r="E16" s="3" t="n"/>
      <c r="F16" s="3" t="n"/>
      <c r="G16" s="3" t="n"/>
      <c r="H16" s="3" t="n"/>
    </row>
    <row r="17">
      <c r="A17" s="70" t="n"/>
      <c r="B17" s="5" t="n"/>
      <c r="C17" s="5" t="n"/>
      <c r="D17" s="5" t="n"/>
      <c r="E17" s="5" t="n"/>
      <c r="F17" s="5" t="n"/>
      <c r="G17" s="5" t="n"/>
      <c r="H17" s="5" t="n"/>
    </row>
    <row r="18">
      <c r="A18" s="57" t="n"/>
      <c r="B18" s="3" t="n"/>
      <c r="C18" s="3" t="n"/>
      <c r="D18" s="3" t="n"/>
      <c r="E18" s="3" t="n"/>
      <c r="F18" s="3" t="n"/>
      <c r="G18" s="3" t="n"/>
      <c r="H18" s="3" t="n"/>
    </row>
    <row r="19">
      <c r="A19" s="70" t="n"/>
      <c r="B19" s="5" t="n"/>
      <c r="C19" s="5" t="n"/>
      <c r="D19" s="5" t="n"/>
      <c r="E19" s="5" t="n"/>
      <c r="F19" s="5" t="n"/>
      <c r="G19" s="5" t="n"/>
      <c r="H19" s="5" t="n"/>
    </row>
    <row r="20">
      <c r="A20" s="57" t="n"/>
      <c r="B20" s="3" t="n"/>
      <c r="C20" s="3" t="n"/>
      <c r="D20" s="3" t="n"/>
      <c r="E20" s="3" t="n"/>
      <c r="F20" s="3" t="n"/>
      <c r="G20" s="3" t="n"/>
      <c r="H20" s="3" t="n"/>
    </row>
    <row r="21">
      <c r="A21" s="70" t="n"/>
      <c r="B21" s="5" t="n"/>
      <c r="C21" s="5" t="n"/>
      <c r="D21" s="5" t="n"/>
      <c r="E21" s="5" t="n"/>
      <c r="F21" s="5" t="n"/>
      <c r="G21" s="5" t="n"/>
      <c r="H21" s="5" t="n"/>
    </row>
    <row r="22">
      <c r="A22" s="57" t="n"/>
      <c r="B22" s="3" t="n"/>
      <c r="C22" s="3" t="n"/>
      <c r="D22" s="3" t="n"/>
      <c r="E22" s="3" t="n"/>
      <c r="F22" s="3" t="n"/>
      <c r="G22" s="3" t="n"/>
      <c r="H22" s="3" t="n"/>
    </row>
    <row r="23">
      <c r="A23" s="70" t="n"/>
      <c r="B23" s="5" t="n"/>
      <c r="C23" s="5" t="n"/>
      <c r="D23" s="5" t="n"/>
      <c r="E23" s="5" t="n"/>
      <c r="F23" s="5" t="n"/>
      <c r="G23" s="5" t="n"/>
      <c r="H23" s="5" t="n"/>
    </row>
  </sheetData>
  <mergeCells count="13">
    <mergeCell ref="A12:H12"/>
    <mergeCell ref="A4:H4"/>
    <mergeCell ref="A9:H9"/>
    <mergeCell ref="A3:H3"/>
    <mergeCell ref="A1:H1"/>
    <mergeCell ref="A7:H7"/>
    <mergeCell ref="A2:H2"/>
    <mergeCell ref="A10:H10"/>
    <mergeCell ref="A13:H13"/>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G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4" customWidth="1" min="1" max="1"/>
    <col width="16" customWidth="1" min="2" max="6"/>
    <col width="26" customWidth="1" min="7" max="7"/>
  </cols>
  <sheetData>
    <row r="1" ht="25.5" customHeight="1">
      <c r="A1" s="64" t="inlineStr">
        <is>
          <t>S-CORP STOCK vs. SHAREHOLDER-LOAN (DEBT) BASIS TRACKER (§1367 / §1368)</t>
        </is>
      </c>
    </row>
    <row r="2" ht="19.5" customHeight="1">
      <c r="A2" s="65" t="inlineStr">
        <is>
          <t>HOW TO USE THIS TAB</t>
        </is>
      </c>
    </row>
    <row r="3" ht="15.75" customHeight="1">
      <c r="A3" s="66" t="inlineStr">
        <is>
          <t>Keeps stock basis and shareholder-loan (debt) basis in separate running balances so distributions in excess of STOCK basis correctly trigger capital gain, instead of being absorbed against loan basis (which Axcess will do by default if the two are not entered separately).</t>
        </is>
      </c>
    </row>
    <row r="4" ht="25.5" customHeight="1">
      <c r="A4" s="67" t="inlineStr">
        <is>
          <t>1) One block of rows per shareholder. Track Stock Basis and Debt Basis as two separate running totals.</t>
        </is>
      </c>
    </row>
    <row r="5" ht="25.5" customHeight="1">
      <c r="A5" s="67" t="inlineStr">
        <is>
          <t>2) Increases to stock basis: income items, additional capital contributions. Decreases: distributions (limited to stock basis first, per §1368 ordering), nondeductible expenses, losses.</t>
        </is>
      </c>
    </row>
    <row r="6" ht="25.5" customHeight="1">
      <c r="A6" s="67" t="inlineStr">
        <is>
          <t>3) Debt basis is only restored after full stock basis restoration, and is reduced only after stock basis is exhausted by losses (open-account debt vs. formal note debt may follow different repayment tax rules — flag any formal note repayment for separate §1271 analysis).</t>
        </is>
      </c>
    </row>
    <row r="7" ht="25.5" customHeight="1">
      <c r="A7" s="67" t="inlineStr">
        <is>
          <t>4) 'Distribution in Excess of Stock Basis (taxable gain)' computes automatically — enter this as an override capital gain on Schedule D / Gains and Losses if Axcess's aggregated basis calc doesn't isolate it.</t>
        </is>
      </c>
    </row>
    <row r="8" ht="25.5" customHeight="1">
      <c r="A8" s="67" t="inlineStr">
        <is>
          <t>5) In Axcess, enter Beginning Stock Basis and Debt Basis on separate lines of the S-Corp Basis Limitation section (do not net them into a single beginning-basis figure).</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Producing the Basis Limitation worksheet in Axcess — support.cch.com/kb/solution.aspx/sw11361</t>
        </is>
      </c>
    </row>
    <row r="11" ht="13.5" customHeight="1">
      <c r="A11" s="68" t="inlineStr">
        <is>
          <t>Source: IRC §1367 — Adjustments to basis of stock and indebtedness — law.cornell.edu/uscode/text/26/1367</t>
        </is>
      </c>
    </row>
    <row r="12" ht="13.5" customHeight="1">
      <c r="A12" s="68" t="inlineStr">
        <is>
          <t>Source: IRC §1368 — Distributions — law.cornell.edu/uscode/text/26/1368</t>
        </is>
      </c>
    </row>
    <row r="14" ht="30" customHeight="1">
      <c r="A14" s="2" t="inlineStr">
        <is>
          <t>Shareholder</t>
        </is>
      </c>
      <c r="B14" s="2" t="inlineStr">
        <is>
          <t>Beginning Stock Basis</t>
        </is>
      </c>
      <c r="C14" s="2" t="inlineStr">
        <is>
          <t>Beginning Debt Basis</t>
        </is>
      </c>
      <c r="D14" s="2" t="inlineStr">
        <is>
          <t>Current-Year Income/Loss (stock basis first)</t>
        </is>
      </c>
      <c r="E14" s="2" t="inlineStr">
        <is>
          <t>Total Distributions</t>
        </is>
      </c>
      <c r="F14" s="2" t="inlineStr">
        <is>
          <t>Distribution in Excess of Stock Basis (taxable gain — override)</t>
        </is>
      </c>
      <c r="G14" s="2" t="inlineStr">
        <is>
          <t>Notes</t>
        </is>
      </c>
    </row>
    <row r="15">
      <c r="A15" s="57" t="n"/>
      <c r="B15" s="3" t="n"/>
      <c r="C15" s="3" t="n"/>
      <c r="D15" s="3" t="n"/>
      <c r="E15" s="3" t="n"/>
      <c r="F15" s="3">
        <f>MAX(0,E15-(B15+MAX(0,D15)))</f>
        <v/>
      </c>
      <c r="G15" s="3" t="n"/>
    </row>
    <row r="16">
      <c r="A16" s="70" t="n"/>
      <c r="B16" s="5" t="n"/>
      <c r="C16" s="5" t="n"/>
      <c r="D16" s="5" t="n"/>
      <c r="E16" s="5" t="n"/>
      <c r="F16" s="5">
        <f>MAX(0,E16-(B16+MAX(0,D16)))</f>
        <v/>
      </c>
      <c r="G16" s="5" t="n"/>
    </row>
    <row r="17">
      <c r="A17" s="57" t="n"/>
      <c r="B17" s="3" t="n"/>
      <c r="C17" s="3" t="n"/>
      <c r="D17" s="3" t="n"/>
      <c r="E17" s="3" t="n"/>
      <c r="F17" s="3">
        <f>MAX(0,E17-(B17+MAX(0,D17)))</f>
        <v/>
      </c>
      <c r="G17" s="3" t="n"/>
    </row>
    <row r="18">
      <c r="A18" s="70" t="n"/>
      <c r="B18" s="5" t="n"/>
      <c r="C18" s="5" t="n"/>
      <c r="D18" s="5" t="n"/>
      <c r="E18" s="5" t="n"/>
      <c r="F18" s="5">
        <f>MAX(0,E18-(B18+MAX(0,D18)))</f>
        <v/>
      </c>
      <c r="G18" s="5" t="n"/>
    </row>
    <row r="19">
      <c r="A19" s="57" t="n"/>
      <c r="B19" s="3" t="n"/>
      <c r="C19" s="3" t="n"/>
      <c r="D19" s="3" t="n"/>
      <c r="E19" s="3" t="n"/>
      <c r="F19" s="3">
        <f>MAX(0,E19-(B19+MAX(0,D19)))</f>
        <v/>
      </c>
      <c r="G19" s="3" t="n"/>
    </row>
    <row r="20">
      <c r="A20" s="70" t="n"/>
      <c r="B20" s="5" t="n"/>
      <c r="C20" s="5" t="n"/>
      <c r="D20" s="5" t="n"/>
      <c r="E20" s="5" t="n"/>
      <c r="F20" s="5">
        <f>MAX(0,E20-(B20+MAX(0,D20)))</f>
        <v/>
      </c>
      <c r="G20" s="5" t="n"/>
    </row>
    <row r="21">
      <c r="A21" s="57" t="n"/>
      <c r="B21" s="3" t="n"/>
      <c r="C21" s="3" t="n"/>
      <c r="D21" s="3" t="n"/>
      <c r="E21" s="3" t="n"/>
      <c r="F21" s="3">
        <f>MAX(0,E21-(B21+MAX(0,D21)))</f>
        <v/>
      </c>
      <c r="G21" s="3" t="n"/>
    </row>
    <row r="22">
      <c r="A22" s="70" t="n"/>
      <c r="B22" s="5" t="n"/>
      <c r="C22" s="5" t="n"/>
      <c r="D22" s="5" t="n"/>
      <c r="E22" s="5" t="n"/>
      <c r="F22" s="5">
        <f>MAX(0,E22-(B22+MAX(0,D22)))</f>
        <v/>
      </c>
      <c r="G22" s="5" t="n"/>
    </row>
  </sheetData>
  <mergeCells count="12">
    <mergeCell ref="A1:G1"/>
    <mergeCell ref="A9:G9"/>
    <mergeCell ref="A8:G8"/>
    <mergeCell ref="A3:G3"/>
    <mergeCell ref="A6:G6"/>
    <mergeCell ref="A12:G12"/>
    <mergeCell ref="A4:G4"/>
    <mergeCell ref="A2:G2"/>
    <mergeCell ref="A7:G7"/>
    <mergeCell ref="A11:G11"/>
    <mergeCell ref="A10:G10"/>
    <mergeCell ref="A5:G5"/>
  </mergeCell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F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30" customWidth="1" min="1" max="1"/>
    <col width="18" customWidth="1" min="2" max="5"/>
    <col width="30" customWidth="1" min="6" max="6"/>
  </cols>
  <sheetData>
    <row r="1" ht="25.5" customHeight="1">
      <c r="A1" s="64" t="inlineStr">
        <is>
          <t>TRUST TERMINATION — SUSPENDED PASSIVE LOSS BASIS STEP-UP TRACKER (§469(j)(12) / §643(e))</t>
        </is>
      </c>
    </row>
    <row r="2" ht="19.5" customHeight="1">
      <c r="A2" s="65" t="inlineStr">
        <is>
          <t>HOW TO USE THIS TAB</t>
        </is>
      </c>
    </row>
    <row r="3" ht="15.75" customHeight="1">
      <c r="A3" s="66" t="inlineStr">
        <is>
          <t>On a trust's final K-1, suspended passive activity losses are added to the basis of the specific asset distributed to the beneficiary (§469(g)) rather than simply flowing through as a deductible loss — a footnote detail Axcess cannot extract automatically.</t>
        </is>
      </c>
    </row>
    <row r="4" ht="25.5" customHeight="1">
      <c r="A4" s="67" t="inlineStr">
        <is>
          <t>1) Confirm the K-1 is marked 'Final K-1' — that is the trigger to check the footnotes for suspended passive losses.</t>
        </is>
      </c>
    </row>
    <row r="5" ht="25.5" customHeight="1">
      <c r="A5" s="67" t="inlineStr">
        <is>
          <t>2) Enter the distributed asset/activity name, its basis as reported on the K-1 before step-up, and the suspended PAL carryover shown in the footnotes.</t>
        </is>
      </c>
    </row>
    <row r="6" ht="25.5" customHeight="1">
      <c r="A6" s="67" t="inlineStr">
        <is>
          <t>3) 'Stepped-Up Basis' is computed by adding the suspended loss to the pre-step-up basis.</t>
        </is>
      </c>
    </row>
    <row r="7" ht="25.5" customHeight="1">
      <c r="A7" s="67" t="inlineStr">
        <is>
          <t>4) In Axcess 1040, go to the specific underlying activity's own input screen (Partnership, Rental, or Sch C, wherever the distributed asset now lives) and manually increase Beginning Basis to the stepped-up figure, or use the Prior-Year Suspended Passive Loss override field if the activity carries forward directly.</t>
        </is>
      </c>
    </row>
    <row r="8" ht="13.5" customHeight="1">
      <c r="A8" s="68" t="inlineStr">
        <is>
          <t>Source: IRC §469(g) — Treatment of former passive activities / dispositions — law.cornell.edu/uscode/text/26/469</t>
        </is>
      </c>
    </row>
    <row r="9" ht="13.5" customHeight="1">
      <c r="A9" s="68" t="inlineStr">
        <is>
          <t>Source: IRC §643(e) — Distributions of property by trusts — law.cornell.edu/uscode/text/26/643</t>
        </is>
      </c>
    </row>
    <row r="11" ht="30" customHeight="1">
      <c r="A11" s="2" t="inlineStr">
        <is>
          <t>Distributed Asset / Activity</t>
        </is>
      </c>
      <c r="B11" s="2" t="inlineStr">
        <is>
          <t>Pre-Step-Up Basis (per K-1)</t>
        </is>
      </c>
      <c r="C11" s="2" t="inlineStr">
        <is>
          <t>Suspended PAL from Footnotes</t>
        </is>
      </c>
      <c r="D11" s="2" t="inlineStr">
        <is>
          <t>Stepped-Up Basis (override input)</t>
        </is>
      </c>
      <c r="E11" s="2" t="inlineStr">
        <is>
          <t>Final K-1 Confirmed? (Y/N)</t>
        </is>
      </c>
      <c r="F11" s="2" t="inlineStr">
        <is>
          <t>Notes</t>
        </is>
      </c>
    </row>
    <row r="12">
      <c r="A12" s="57" t="n"/>
      <c r="B12" s="3" t="n"/>
      <c r="C12" s="3" t="n"/>
      <c r="D12" s="3">
        <f>B12+C12</f>
        <v/>
      </c>
      <c r="E12" s="3" t="n"/>
      <c r="F12" s="3" t="n"/>
    </row>
    <row r="13">
      <c r="A13" s="70" t="n"/>
      <c r="B13" s="5" t="n"/>
      <c r="C13" s="5" t="n"/>
      <c r="D13" s="5">
        <f>B13+C13</f>
        <v/>
      </c>
      <c r="E13" s="5" t="n"/>
      <c r="F13" s="5" t="n"/>
    </row>
    <row r="14">
      <c r="A14" s="57" t="n"/>
      <c r="B14" s="3" t="n"/>
      <c r="C14" s="3" t="n"/>
      <c r="D14" s="3">
        <f>B14+C14</f>
        <v/>
      </c>
      <c r="E14" s="3" t="n"/>
      <c r="F14" s="3" t="n"/>
    </row>
    <row r="15">
      <c r="A15" s="70" t="n"/>
      <c r="B15" s="5" t="n"/>
      <c r="C15" s="5" t="n"/>
      <c r="D15" s="5">
        <f>B15+C15</f>
        <v/>
      </c>
      <c r="E15" s="5" t="n"/>
      <c r="F15" s="5" t="n"/>
    </row>
    <row r="16">
      <c r="A16" s="57" t="n"/>
      <c r="B16" s="3" t="n"/>
      <c r="C16" s="3" t="n"/>
      <c r="D16" s="3">
        <f>B16+C16</f>
        <v/>
      </c>
      <c r="E16" s="3" t="n"/>
      <c r="F16" s="3" t="n"/>
    </row>
    <row r="17">
      <c r="A17" s="70" t="n"/>
      <c r="B17" s="5" t="n"/>
      <c r="C17" s="5" t="n"/>
      <c r="D17" s="5">
        <f>B17+C17</f>
        <v/>
      </c>
      <c r="E17" s="5" t="n"/>
      <c r="F17" s="5" t="n"/>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F19"/>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BOND ACCRUED INTEREST &amp; AMORTIZABLE PREMIUM WORKSHEET (Schedule B)</t>
        </is>
      </c>
    </row>
    <row r="2" ht="19.5" customHeight="1">
      <c r="A2" s="65" t="inlineStr">
        <is>
          <t>HOW TO USE THIS TAB</t>
        </is>
      </c>
    </row>
    <row r="3" ht="15.75" customHeight="1">
      <c r="A3" s="66" t="inlineStr">
        <is>
          <t>Consolidated 1099-INT statements report gross interest received for the calendar year and often do not net out (a) accrued interest paid to a seller on a mid-cycle bond purchase, or (b) bond premium amortization on non-covered/specialized bonds — both must be computed and entered as separate lines.</t>
        </is>
      </c>
    </row>
    <row r="4" ht="25.5" customHeight="1">
      <c r="A4" s="67" t="inlineStr">
        <is>
          <t>1) Accrued interest paid on purchase: enter the Gross 1099-INT Interest and the Accrued Interest Paid to Seller at purchase (from the trade confirmation). Enter the gross amount on the Interest Income (1099-INT) worksheet, then add a separate negative line using the 'Accrued Interest' description/adjustment code for the offset.</t>
        </is>
      </c>
    </row>
    <row r="5" ht="25.5" customHeight="1">
      <c r="A5" s="67" t="inlineStr">
        <is>
          <t>2) Amortizable bond premium: enter the Purchase Price, Face Value, and Years to Maturity; the straight-line estimate is a starting point only — a true yield-to-maturity amortization schedule should be computed externally for material amounts and the computed current-year amount entered as an override on the Amortizable Bond Premium field.</t>
        </is>
      </c>
    </row>
    <row r="6" ht="25.5" customHeight="1">
      <c r="A6" s="67" t="inlineStr">
        <is>
          <t>3) Taxable vs. tax-exempt bonds amortize differently (tax-exempt premium amortization is mandatory and NOT deductible, just reduces basis) — flag the bond type in the Notes column so the correct treatment is used.</t>
        </is>
      </c>
    </row>
    <row r="7" ht="13.5" customHeight="1">
      <c r="A7" s="68" t="inlineStr">
        <is>
          <t>Source: IRS Schedule B Instructions — accrued interest and bond premium reporting — irs.gov/instructions/i1040sb</t>
        </is>
      </c>
    </row>
    <row r="8" ht="13.5" customHeight="1">
      <c r="A8" s="68" t="inlineStr">
        <is>
          <t>Source: IRS Pub. 550, Investment Income and Expenses — irs.gov/publications/p550</t>
        </is>
      </c>
    </row>
    <row r="10" ht="30" customHeight="1">
      <c r="A10" s="2" t="inlineStr">
        <is>
          <t>Bond / CUSIP</t>
        </is>
      </c>
      <c r="B10" s="2" t="inlineStr">
        <is>
          <t>Gross 1099-INT Interest</t>
        </is>
      </c>
      <c r="C10" s="2" t="inlineStr">
        <is>
          <t>Accrued Interest Paid to Seller (negative override)</t>
        </is>
      </c>
      <c r="D10" s="2" t="inlineStr">
        <is>
          <t>Purchase Price vs. Face Value (premium)</t>
        </is>
      </c>
      <c r="E10" s="2" t="inlineStr">
        <is>
          <t>Est. Current-Year Premium Amortization (override)</t>
        </is>
      </c>
      <c r="F10" s="2" t="inlineStr">
        <is>
          <t>Taxable/Tax-Exempt — Notes</t>
        </is>
      </c>
    </row>
    <row r="11">
      <c r="A11" s="57" t="n"/>
      <c r="B11" s="3" t="n"/>
      <c r="C11" s="3" t="n"/>
      <c r="D11" s="3" t="n"/>
      <c r="E11" s="3" t="n"/>
      <c r="F11" s="3" t="n"/>
    </row>
    <row r="12">
      <c r="A12" s="70" t="n"/>
      <c r="B12" s="5" t="n"/>
      <c r="C12" s="5" t="n"/>
      <c r="D12" s="5" t="n"/>
      <c r="E12" s="5" t="n"/>
      <c r="F12" s="5" t="n"/>
    </row>
    <row r="13">
      <c r="A13" s="57" t="n"/>
      <c r="B13" s="3" t="n"/>
      <c r="C13" s="3" t="n"/>
      <c r="D13" s="3" t="n"/>
      <c r="E13" s="3" t="n"/>
      <c r="F13" s="3" t="n"/>
    </row>
    <row r="14">
      <c r="A14" s="70" t="n"/>
      <c r="B14" s="5" t="n"/>
      <c r="C14" s="5" t="n"/>
      <c r="D14" s="5" t="n"/>
      <c r="E14" s="5" t="n"/>
      <c r="F14" s="5" t="n"/>
    </row>
    <row r="15">
      <c r="A15" s="57" t="n"/>
      <c r="B15" s="3" t="n"/>
      <c r="C15" s="3" t="n"/>
      <c r="D15" s="3" t="n"/>
      <c r="E15" s="3" t="n"/>
      <c r="F15" s="3" t="n"/>
    </row>
    <row r="16">
      <c r="A16" s="70" t="n"/>
      <c r="B16" s="5" t="n"/>
      <c r="C16" s="5" t="n"/>
      <c r="D16" s="5" t="n"/>
      <c r="E16" s="5" t="n"/>
      <c r="F16" s="5" t="n"/>
    </row>
    <row r="17">
      <c r="A17" s="57" t="n"/>
      <c r="B17" s="3" t="n"/>
      <c r="C17" s="3" t="n"/>
      <c r="D17" s="3" t="n"/>
      <c r="E17" s="3" t="n"/>
      <c r="F17" s="3" t="n"/>
    </row>
    <row r="18">
      <c r="A18" s="70" t="n"/>
      <c r="B18" s="5" t="n"/>
      <c r="C18" s="5" t="n"/>
      <c r="D18" s="5" t="n"/>
      <c r="E18" s="5" t="n"/>
      <c r="F18" s="5" t="n"/>
    </row>
    <row r="19">
      <c r="A19" s="10" t="inlineStr">
        <is>
          <t>TOTAL</t>
        </is>
      </c>
      <c r="B19" s="11">
        <f>SUM(B11:B18)</f>
        <v/>
      </c>
      <c r="C19" s="11">
        <f>SUM(C11:C18)</f>
        <v/>
      </c>
      <c r="D19" s="11">
        <f>SUM(D11:D18)</f>
        <v/>
      </c>
      <c r="E19" s="11">
        <f>SUM(E11:E18)</f>
        <v/>
      </c>
      <c r="F19" s="11">
        <f>SUM(F11:F18)</f>
        <v/>
      </c>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F18"/>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4" customWidth="1" min="1" max="1"/>
    <col width="18" customWidth="1" min="2" max="5"/>
    <col width="30" customWidth="1" min="6" max="6"/>
  </cols>
  <sheetData>
    <row r="1" ht="25.5" customHeight="1">
      <c r="A1" s="64" t="inlineStr">
        <is>
          <t>HOME MORTGAGE INTEREST — ACQUISITION DEBT LIMITATION WORKSHEET (Schedule A)</t>
        </is>
      </c>
    </row>
    <row r="2" ht="19.5" customHeight="1">
      <c r="A2" s="65" t="inlineStr">
        <is>
          <t>HOW TO USE THIS TAB</t>
        </is>
      </c>
    </row>
    <row r="3" ht="15.75" customHeight="1">
      <c r="A3" s="66" t="inlineStr">
        <is>
          <t>Entering the raw Form 1098 Box 1 interest for debt exceeding the $750,000 ($1,000,000 for pre-12/16/2017 debt) acquisition-debt limit overstates the Schedule A deduction — Axcess does not prorate this from the 1098 alone.</t>
        </is>
      </c>
    </row>
    <row r="4" ht="25.5" customHeight="1">
      <c r="A4" s="67" t="inlineStr">
        <is>
          <t>1) One row per mortgage. Enter Average Balance During the Year (IRS-approved method: (beginning + ending)/2, or the more precise average of monthly balances), the applicable Debt Limit ($750,000 or $1,000,000 per acquisition-debt vintage — combine balances across pre- and post-12/16/2017 loans per the worksheet in Pub. 936), and Total Interest Paid (1098 Box 1).</t>
        </is>
      </c>
    </row>
    <row r="5" ht="25.5" customHeight="1">
      <c r="A5" s="67" t="inlineStr">
        <is>
          <t>2) 'Deductible %' and 'Allowed Interest' compute automatically using the limitation ratio method from the Schedule A instructions / Pub. 936 worksheet.</t>
        </is>
      </c>
    </row>
    <row r="6" ht="25.5" customHeight="1">
      <c r="A6" s="67" t="inlineStr">
        <is>
          <t>3) Enter the Allowed Interest (not the raw 1098 figure) on the Home Mortgage Interest input in Axcess, or use the explicit interest-limitation override field if present, and keep this worksheet as the workpaper.</t>
        </is>
      </c>
    </row>
    <row r="7" ht="25.5" customHeight="1">
      <c r="A7" s="67" t="inlineStr">
        <is>
          <t>4) If the client has multiple properties/loans, combine ALL acquisition debt across properties against the single $750K/$1M ceiling — do not apply the limit separately per loan.</t>
        </is>
      </c>
    </row>
    <row r="8" ht="13.5" customHeight="1">
      <c r="A8" s="68" t="inlineStr">
        <is>
          <t>Source: IRS Publication 936, Home Mortgage Interest Deduction (worksheet for limited interest) — irs.gov/publications/p936</t>
        </is>
      </c>
    </row>
    <row r="9" ht="13.5" customHeight="1">
      <c r="A9" s="68" t="inlineStr">
        <is>
          <t>Source: IRS Schedule A Instructions — irs.gov/instructions/i1040sca</t>
        </is>
      </c>
    </row>
    <row r="11" ht="30" customHeight="1">
      <c r="A11" s="2" t="inlineStr">
        <is>
          <t>Property / Loan</t>
        </is>
      </c>
      <c r="B11" s="2" t="inlineStr">
        <is>
          <t>Average Balance During Year</t>
        </is>
      </c>
      <c r="C11" s="2" t="inlineStr">
        <is>
          <t>Applicable Debt Limit ($750K or $1M — combine across loans)</t>
        </is>
      </c>
      <c r="D11" s="2" t="inlineStr">
        <is>
          <t>Total Interest Paid (1098 Box 1)</t>
        </is>
      </c>
      <c r="E11" s="2" t="inlineStr">
        <is>
          <t>Deductible % / Allowed Interest (override input)</t>
        </is>
      </c>
      <c r="F11" s="2" t="inlineStr">
        <is>
          <t>Notes</t>
        </is>
      </c>
    </row>
    <row r="12">
      <c r="A12" s="57" t="n"/>
      <c r="B12" s="3" t="n"/>
      <c r="C12" s="3" t="n"/>
      <c r="D12" s="3" t="n"/>
      <c r="E12" s="3">
        <f>IF(B12=0,0,MIN(1,C12/B12)*D12)</f>
        <v/>
      </c>
      <c r="F12" s="3" t="n"/>
    </row>
    <row r="13">
      <c r="A13" s="70" t="n"/>
      <c r="B13" s="5" t="n"/>
      <c r="C13" s="5" t="n"/>
      <c r="D13" s="5" t="n"/>
      <c r="E13" s="5">
        <f>IF(B13=0,0,MIN(1,C13/B13)*D13)</f>
        <v/>
      </c>
      <c r="F13" s="5" t="n"/>
    </row>
    <row r="14">
      <c r="A14" s="57" t="n"/>
      <c r="B14" s="3" t="n"/>
      <c r="C14" s="3" t="n"/>
      <c r="D14" s="3" t="n"/>
      <c r="E14" s="3">
        <f>IF(B14=0,0,MIN(1,C14/B14)*D14)</f>
        <v/>
      </c>
      <c r="F14" s="3" t="n"/>
    </row>
    <row r="15">
      <c r="A15" s="70" t="n"/>
      <c r="B15" s="5" t="n"/>
      <c r="C15" s="5" t="n"/>
      <c r="D15" s="5" t="n"/>
      <c r="E15" s="5">
        <f>IF(B15=0,0,MIN(1,C15/B15)*D15)</f>
        <v/>
      </c>
      <c r="F15" s="5" t="n"/>
    </row>
    <row r="16">
      <c r="A16" s="57" t="n"/>
      <c r="B16" s="3" t="n"/>
      <c r="C16" s="3" t="n"/>
      <c r="D16" s="3" t="n"/>
      <c r="E16" s="3">
        <f>IF(B16=0,0,MIN(1,C16/B16)*D16)</f>
        <v/>
      </c>
      <c r="F16" s="3" t="n"/>
    </row>
    <row r="17">
      <c r="A17" s="70" t="n"/>
      <c r="B17" s="5" t="n"/>
      <c r="C17" s="5" t="n"/>
      <c r="D17" s="5" t="n"/>
      <c r="E17" s="5">
        <f>IF(B17=0,0,MIN(1,C17/B17)*D17)</f>
        <v/>
      </c>
      <c r="F17" s="5" t="n"/>
    </row>
    <row r="18">
      <c r="A18" s="10" t="inlineStr">
        <is>
          <t>TOTAL</t>
        </is>
      </c>
      <c r="B18" s="11">
        <f>SUM(B12:B17)</f>
        <v/>
      </c>
      <c r="C18" s="11">
        <f>SUM(C12:C17)</f>
        <v/>
      </c>
      <c r="D18" s="11">
        <f>SUM(D12:D17)</f>
        <v/>
      </c>
      <c r="E18" s="11">
        <f>SUM(E12:E17)</f>
        <v/>
      </c>
      <c r="F18" s="11">
        <f>SUM(F12:F17)</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G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2" customWidth="1" min="2" max="3"/>
    <col width="14" customWidth="1" min="4" max="4"/>
    <col width="16" customWidth="1" min="5" max="6"/>
    <col width="26" customWidth="1" min="7" max="7"/>
  </cols>
  <sheetData>
    <row r="1" ht="25.5" customHeight="1">
      <c r="A1" s="64" t="inlineStr">
        <is>
          <t>VACATION / SECOND-HOME RENTAL ALLOCATION (Schedule E vs. Schedule A)</t>
        </is>
      </c>
    </row>
    <row r="2" ht="19.5" customHeight="1">
      <c r="A2" s="65" t="inlineStr">
        <is>
          <t>HOW TO USE THIS TAB</t>
        </is>
      </c>
    </row>
    <row r="3" ht="15.75" customHeight="1">
      <c r="A3" s="66" t="inlineStr">
        <is>
          <t>When a home is both personally used and rented, expenses must be split between personal (Schedule A, mortgage interest/taxes only) and rental (Schedule E) days using an IRS-approved method — Axcess has no calendar logic to derive this ratio on its own.</t>
        </is>
      </c>
    </row>
    <row r="4" ht="25.5" customHeight="1">
      <c r="A4" s="67" t="inlineStr">
        <is>
          <t>1) Enter Personal-Use Days and Rental Days from the client's calendar/log for the property.</t>
        </is>
      </c>
    </row>
    <row r="5" ht="25.5" customHeight="1">
      <c r="A5" s="67" t="inlineStr">
        <is>
          <t>2) Choose an allocation method in Notes: 'Tax Court (Bolton)' allocates mortgage interest &amp; taxes by Rental Days ÷ 365 (favors the rental side); 'IRS method' allocates by Rental Days ÷ Total Days Used (rental + personal). Confirm which the return should use — Bolton is generally more taxpayer-favorable and is accepted in most circuits but not codified by the IRS itself.</t>
        </is>
      </c>
    </row>
    <row r="6" ht="25.5" customHeight="1">
      <c r="A6" s="67" t="inlineStr">
        <is>
          <t>3) 'Rental %' computes under both methods for comparison; apply the chosen % to mortgage interest, property taxes, insurance, utilities, depreciation, etc. and enter the Rental-Allocated amounts as overrides on Schedule E, and the Personal-Allocated mortgage interest/taxes on Schedule A.</t>
        </is>
      </c>
    </row>
    <row r="7" ht="25.5" customHeight="1">
      <c r="A7" s="67" t="inlineStr">
        <is>
          <t>4) If personal use exceeds the greater of 14 days or 10% of rental days, the property is a personal residence for loss-limitation purposes (rental losses limited to rental income) — flag this in Notes.</t>
        </is>
      </c>
    </row>
    <row r="8" ht="13.5" customHeight="1">
      <c r="A8" s="68" t="inlineStr">
        <is>
          <t>Source: IRS Pub. 527, Residential Rental Property (vacation home rules) — irs.gov/publications/p527</t>
        </is>
      </c>
    </row>
    <row r="9" ht="13.5" customHeight="1">
      <c r="A9" s="68" t="inlineStr">
        <is>
          <t>Source: Bolton v. Commissioner, 694 F.2d 556 (9th Cir. 1982) — casetext.com/case/bolton-v-commissioner-3</t>
        </is>
      </c>
    </row>
    <row r="11" ht="30" customHeight="1">
      <c r="A11" s="2" t="inlineStr">
        <is>
          <t>Property</t>
        </is>
      </c>
      <c r="B11" s="2" t="inlineStr">
        <is>
          <t>Personal-Use Days</t>
        </is>
      </c>
      <c r="C11" s="2" t="inlineStr">
        <is>
          <t>Rental Days</t>
        </is>
      </c>
      <c r="D11" s="2" t="inlineStr">
        <is>
          <t>Rental % — Bolton Method (Rental/365)</t>
        </is>
      </c>
      <c r="E11" s="2" t="inlineStr">
        <is>
          <t>Rental % — IRS Method (Rental/Total Used)</t>
        </is>
      </c>
      <c r="F11" s="2" t="inlineStr">
        <is>
          <t>Total Expense to Allocate (per category)</t>
        </is>
      </c>
      <c r="G11" s="2" t="inlineStr">
        <is>
          <t>Allocation Method Chosen / Notes</t>
        </is>
      </c>
    </row>
    <row r="12">
      <c r="A12" s="57" t="n"/>
      <c r="B12" s="3" t="n"/>
      <c r="C12" s="3" t="n"/>
      <c r="D12" s="3">
        <f>IF(C12=0,0,C12/365)</f>
        <v/>
      </c>
      <c r="E12" s="3">
        <f>IF((B12+C12)=0,0,C12/(B12+C12))</f>
        <v/>
      </c>
      <c r="F12" s="3" t="n"/>
      <c r="G12" s="3" t="n"/>
    </row>
    <row r="13">
      <c r="A13" s="70" t="n"/>
      <c r="B13" s="5" t="n"/>
      <c r="C13" s="5" t="n"/>
      <c r="D13" s="5">
        <f>IF(C13=0,0,C13/365)</f>
        <v/>
      </c>
      <c r="E13" s="5">
        <f>IF((B13+C13)=0,0,C13/(B13+C13))</f>
        <v/>
      </c>
      <c r="F13" s="5" t="n"/>
      <c r="G13" s="5" t="n"/>
    </row>
    <row r="14">
      <c r="A14" s="57" t="n"/>
      <c r="B14" s="3" t="n"/>
      <c r="C14" s="3" t="n"/>
      <c r="D14" s="3">
        <f>IF(C14=0,0,C14/365)</f>
        <v/>
      </c>
      <c r="E14" s="3">
        <f>IF((B14+C14)=0,0,C14/(B14+C14))</f>
        <v/>
      </c>
      <c r="F14" s="3" t="n"/>
      <c r="G14" s="3" t="n"/>
    </row>
    <row r="15">
      <c r="A15" s="70" t="n"/>
      <c r="B15" s="5" t="n"/>
      <c r="C15" s="5" t="n"/>
      <c r="D15" s="5">
        <f>IF(C15=0,0,C15/365)</f>
        <v/>
      </c>
      <c r="E15" s="5">
        <f>IF((B15+C15)=0,0,C15/(B15+C15))</f>
        <v/>
      </c>
      <c r="F15" s="5" t="n"/>
      <c r="G15" s="5" t="n"/>
    </row>
    <row r="16">
      <c r="A16" s="57" t="n"/>
      <c r="B16" s="3" t="n"/>
      <c r="C16" s="3" t="n"/>
      <c r="D16" s="3">
        <f>IF(C16=0,0,C16/365)</f>
        <v/>
      </c>
      <c r="E16" s="3">
        <f>IF((B16+C16)=0,0,C16/(B16+C16))</f>
        <v/>
      </c>
      <c r="F16" s="3" t="n"/>
      <c r="G16" s="3" t="n"/>
    </row>
    <row r="17">
      <c r="A17" s="70" t="n"/>
      <c r="B17" s="5" t="n"/>
      <c r="C17" s="5" t="n"/>
      <c r="D17" s="5">
        <f>IF(C17=0,0,C17/365)</f>
        <v/>
      </c>
      <c r="E17" s="5">
        <f>IF((B17+C17)=0,0,C17/(B17+C17))</f>
        <v/>
      </c>
      <c r="F17" s="5" t="n"/>
      <c r="G17"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6" customWidth="1" min="1" max="1"/>
    <col width="16" customWidth="1" min="2" max="5"/>
    <col width="14" customWidth="1" min="6" max="6"/>
    <col width="26" customWidth="1" min="7" max="7"/>
  </cols>
  <sheetData>
    <row r="1" ht="25.5" customHeight="1">
      <c r="A1" s="64" t="inlineStr">
        <is>
          <t>EQUITY COMPENSATION BASIS CORRECTION &amp; CROSS-ACCOUNT WASH SALE TRACKER</t>
        </is>
      </c>
    </row>
    <row r="2" ht="19.5" customHeight="1">
      <c r="A2" s="65" t="inlineStr">
        <is>
          <t>HOW TO USE THIS TAB</t>
        </is>
      </c>
    </row>
    <row r="3" ht="15.75" customHeight="1">
      <c r="A3" s="66" t="inlineStr">
        <is>
          <t>Brokers report RSU/NQSO/ESPP cost basis on Form 1099-B as $0 or par value because they don't see the W-2 compensation income already recognized — entering the 1099-B basis as-is causes the same income to be taxed twice. Separately, wash sales across a taxable account and an IRA or spouse's account are invisible to a single broker's 1099-B and must be cross-matched manually.</t>
        </is>
      </c>
    </row>
    <row r="4" ht="25.5" customHeight="1">
      <c r="A4" s="67" t="inlineStr">
        <is>
          <t>1) Equity comp basis: for each vest/exercise lot, enter 1099-B Reported Basis and W-2 Compensation Income Included for that lot (from the employer's vesting/exercise confirmation). 'Corrected Basis' sums them.</t>
        </is>
      </c>
    </row>
    <row r="5" ht="25.5" customHeight="1">
      <c r="A5" s="67" t="inlineStr">
        <is>
          <t>2) Enter the transaction on Form 8949 in Axcess (Gains and Losses &gt; Capital Gains and Losses), then input the Corrected Basis in the Adjusted Basis field with Adjustment Code B ('Incorrect basis reported on Form 1099-B').</t>
        </is>
      </c>
    </row>
    <row r="6" ht="25.5" customHeight="1">
      <c r="A6" s="67" t="inlineStr">
        <is>
          <t>3) Wash sales: list any loss sale in a taxable account alongside a repurchase of substantially identical securities within 30 days before/after — in ANY account the client or spouse controls, including IRAs.</t>
        </is>
      </c>
    </row>
    <row r="7" ht="25.5" customHeight="1">
      <c r="A7" s="67" t="inlineStr">
        <is>
          <t>4) Where the repurchase happened in an IRA, the loss is permanently disallowed (not just deferred) and can never be added back to basis — disallow fully in Axcess using Adjustment Code W on the Form 8949 input line for the loss transaction, and do NOT increase the IRA's basis (IRAs aren't cost-basis tracked for this purpose).</t>
        </is>
      </c>
    </row>
    <row r="8" ht="13.5" customHeight="1">
      <c r="A8" s="68" t="inlineStr">
        <is>
          <t>Source: IRS Instructions for Form 8949 — Adjustment Codes B and W — irs.gov/instructions/i8949</t>
        </is>
      </c>
    </row>
    <row r="9" ht="13.5" customHeight="1">
      <c r="A9" s="68" t="inlineStr">
        <is>
          <t>Source: IRS Pub. 550 — Wash Sales — irs.gov/publications/p550</t>
        </is>
      </c>
    </row>
    <row r="11" ht="30" customHeight="1">
      <c r="A11" s="2" t="inlineStr">
        <is>
          <t>Security / Grant</t>
        </is>
      </c>
      <c r="B11" s="2" t="inlineStr">
        <is>
          <t>1099-B Reported Basis</t>
        </is>
      </c>
      <c r="C11" s="2" t="inlineStr">
        <is>
          <t>W-2 Comp Income Included (add to basis)</t>
        </is>
      </c>
      <c r="D11" s="2" t="inlineStr">
        <is>
          <t>Corrected Basis (override, Code B)</t>
        </is>
      </c>
      <c r="E11" s="2" t="inlineStr">
        <is>
          <t>Wash Sale? Repurchase Account</t>
        </is>
      </c>
      <c r="F11" s="2" t="inlineStr">
        <is>
          <t>Loss Disallowed (Code W)</t>
        </is>
      </c>
      <c r="G11" s="2" t="inlineStr">
        <is>
          <t>Notes</t>
        </is>
      </c>
    </row>
    <row r="12">
      <c r="A12" s="57" t="n"/>
      <c r="B12" s="3" t="n"/>
      <c r="C12" s="3" t="n"/>
      <c r="D12" s="3">
        <f>B12+C12</f>
        <v/>
      </c>
      <c r="E12" s="3" t="n"/>
      <c r="F12" s="3" t="n"/>
      <c r="G12" s="3" t="n"/>
    </row>
    <row r="13">
      <c r="A13" s="70" t="n"/>
      <c r="B13" s="5" t="n"/>
      <c r="C13" s="5" t="n"/>
      <c r="D13" s="5">
        <f>B13+C13</f>
        <v/>
      </c>
      <c r="E13" s="5" t="n"/>
      <c r="F13" s="5" t="n"/>
      <c r="G13" s="5" t="n"/>
    </row>
    <row r="14">
      <c r="A14" s="57" t="n"/>
      <c r="B14" s="3" t="n"/>
      <c r="C14" s="3" t="n"/>
      <c r="D14" s="3">
        <f>B14+C14</f>
        <v/>
      </c>
      <c r="E14" s="3" t="n"/>
      <c r="F14" s="3" t="n"/>
      <c r="G14" s="3" t="n"/>
    </row>
    <row r="15">
      <c r="A15" s="70" t="n"/>
      <c r="B15" s="5" t="n"/>
      <c r="C15" s="5" t="n"/>
      <c r="D15" s="5">
        <f>B15+C15</f>
        <v/>
      </c>
      <c r="E15" s="5" t="n"/>
      <c r="F15" s="5" t="n"/>
      <c r="G15" s="5" t="n"/>
    </row>
    <row r="16">
      <c r="A16" s="57" t="n"/>
      <c r="B16" s="3" t="n"/>
      <c r="C16" s="3" t="n"/>
      <c r="D16" s="3">
        <f>B16+C16</f>
        <v/>
      </c>
      <c r="E16" s="3" t="n"/>
      <c r="F16" s="3" t="n"/>
      <c r="G16" s="3" t="n"/>
    </row>
    <row r="17">
      <c r="A17" s="70" t="n"/>
      <c r="B17" s="5" t="n"/>
      <c r="C17" s="5" t="n"/>
      <c r="D17" s="5">
        <f>B17+C17</f>
        <v/>
      </c>
      <c r="E17" s="5" t="n"/>
      <c r="F17" s="5" t="n"/>
      <c r="G17" s="5" t="n"/>
    </row>
    <row r="18">
      <c r="A18" s="57" t="n"/>
      <c r="B18" s="3" t="n"/>
      <c r="C18" s="3" t="n"/>
      <c r="D18" s="3">
        <f>B18+C18</f>
        <v/>
      </c>
      <c r="E18" s="3" t="n"/>
      <c r="F18" s="3" t="n"/>
      <c r="G18" s="3" t="n"/>
    </row>
    <row r="19">
      <c r="A19" s="70" t="n"/>
      <c r="B19" s="5" t="n"/>
      <c r="C19" s="5" t="n"/>
      <c r="D19" s="5">
        <f>B19+C19</f>
        <v/>
      </c>
      <c r="E19" s="5" t="n"/>
      <c r="F19" s="5" t="n"/>
      <c r="G19"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0.xml><?xml version="1.0" encoding="utf-8"?>
<worksheet xmlns="http://schemas.openxmlformats.org/spreadsheetml/2006/main">
  <sheetPr>
    <outlinePr summaryBelow="1" summaryRight="1"/>
    <pageSetUpPr/>
  </sheetPr>
  <dimension ref="A1:F16"/>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NET UNREALIZED APPRECIATION (NUA) &amp; INHERITED IRA IRD DEDUCTION (§402(e)(4) / §691(c))</t>
        </is>
      </c>
    </row>
    <row r="2" ht="19.5" customHeight="1">
      <c r="A2" s="65" t="inlineStr">
        <is>
          <t>HOW TO USE THIS TAB</t>
        </is>
      </c>
    </row>
    <row r="3" ht="15.75" customHeight="1">
      <c r="A3" s="66" t="inlineStr">
        <is>
          <t>NUA elections let a client pay ordinary tax only on cost basis when company stock is distributed from a 401(k), deferring the appreciation to capital gains rates later. Separately, a beneficiary of an inherited IRA where the decedent's estate paid federal estate tax is entitled to a §691(c) itemized deduction for the estate tax attributable to that IRD — neither is derived automatically from a 1099-R.</t>
        </is>
      </c>
    </row>
    <row r="4" ht="25.5" customHeight="1">
      <c r="A4" s="67" t="inlineStr">
        <is>
          <t>1) NUA: enter Form 1099-R Box 1 (Gross Distribution), Box 2a (Taxable Amount), and Box 6 (Net Unrealized Appreciation). 'Ordinary Income Portion' = Box 1 − Box 6 (the cost basis) — enter this as the taxable amount override on the 1099-R worksheet, and set up the NUA shares as long-term capital gain assets (basis = cost basis, date acquired = original plan acquisition date) on Form 8949 for when sold.</t>
        </is>
      </c>
    </row>
    <row r="5" ht="25.5" customHeight="1">
      <c r="A5" s="67" t="inlineStr">
        <is>
          <t>2) IRD deduction: enter the IRA balance included in the decedent's gross estate, Total Federal Estate Tax Paid (Form 706), and the beneficiary's Share of the IRA. 'IRD Deduction' allocates the estate tax proportionally.</t>
        </is>
      </c>
    </row>
    <row r="6" ht="25.5" customHeight="1">
      <c r="A6" s="67" t="inlineStr">
        <is>
          <t>3) Enter the computed IRD deduction on Itemized Deductions &gt; Miscellaneous Deductions &gt; Income in Respect of a Decedent (not subject to the 2%-of-AGI floor for post-2017 returns since it's a Schedule A 'other itemized deduction' item under current law — confirm current-year treatment).</t>
        </is>
      </c>
    </row>
    <row r="7" ht="13.5" customHeight="1">
      <c r="A7" s="68" t="inlineStr">
        <is>
          <t>Source: IRS Pub. 575 — NUA rules for lump-sum distributions — irs.gov/publications/p575</t>
        </is>
      </c>
    </row>
    <row r="8" ht="13.5" customHeight="1">
      <c r="A8" s="68" t="inlineStr">
        <is>
          <t>Source: IRC §691(c) — Deduction for estate tax attributable to IRD — law.cornell.edu/uscode/text/26/691</t>
        </is>
      </c>
    </row>
    <row r="10" ht="30" customHeight="1">
      <c r="A10" s="2" t="inlineStr">
        <is>
          <t>Client / Account</t>
        </is>
      </c>
      <c r="B10" s="2" t="inlineStr">
        <is>
          <t>1099-R Box 1 (Gross) / IRA Est. Value</t>
        </is>
      </c>
      <c r="C10" s="2" t="inlineStr">
        <is>
          <t>Box 6 NUA / Total Estate Tax Paid</t>
        </is>
      </c>
      <c r="D10" s="2" t="inlineStr">
        <is>
          <t>Ordinary Income or Beneficiary IRA Share %</t>
        </is>
      </c>
      <c r="E10" s="2" t="inlineStr">
        <is>
          <t>Computed Override (Ordinary Income or IRD Deduction)</t>
        </is>
      </c>
      <c r="F10" s="2" t="inlineStr">
        <is>
          <t>NUA or IRD — Notes</t>
        </is>
      </c>
    </row>
    <row r="11">
      <c r="A11" s="57" t="n"/>
      <c r="B11" s="3" t="n"/>
      <c r="C11" s="3" t="n"/>
      <c r="D11" s="3" t="n"/>
      <c r="E11" s="3">
        <f>B11-C11</f>
        <v/>
      </c>
      <c r="F11" s="57" t="n"/>
    </row>
    <row r="12">
      <c r="A12" s="70" t="n"/>
      <c r="B12" s="5" t="n"/>
      <c r="C12" s="5" t="n"/>
      <c r="D12" s="5" t="n"/>
      <c r="E12" s="5">
        <f>B12-C12</f>
        <v/>
      </c>
      <c r="F12" s="70" t="n"/>
    </row>
    <row r="13">
      <c r="A13" s="57" t="n"/>
      <c r="B13" s="3" t="n"/>
      <c r="C13" s="3" t="n"/>
      <c r="D13" s="3" t="n"/>
      <c r="E13" s="3">
        <f>B13-C13</f>
        <v/>
      </c>
      <c r="F13" s="57" t="n"/>
    </row>
    <row r="14">
      <c r="A14" s="70" t="n"/>
      <c r="B14" s="5" t="n"/>
      <c r="C14" s="5" t="n"/>
      <c r="D14" s="5" t="n"/>
      <c r="E14" s="5">
        <f>B14-C14</f>
        <v/>
      </c>
      <c r="F14" s="70" t="n"/>
    </row>
    <row r="15">
      <c r="A15" s="57" t="n"/>
      <c r="B15" s="3" t="n"/>
      <c r="C15" s="3" t="n"/>
      <c r="D15" s="3" t="n"/>
      <c r="E15" s="3">
        <f>B15-C15</f>
        <v/>
      </c>
      <c r="F15" s="57" t="n"/>
    </row>
    <row r="16">
      <c r="A16" s="70" t="n"/>
      <c r="B16" s="5" t="n"/>
      <c r="C16" s="5" t="n"/>
      <c r="D16" s="5" t="n"/>
      <c r="E16" s="5">
        <f>B16-C16</f>
        <v/>
      </c>
      <c r="F16" s="70"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1.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s>
  <sheetData>
    <row r="1" ht="25.5" customHeight="1">
      <c r="A1" s="64" t="inlineStr">
        <is>
          <t>CRYPTOCURRENCY INCOME &amp; BASIS SUB-LEDGER (Airdrops / Forks / Staking / Disposals)</t>
        </is>
      </c>
    </row>
    <row r="2" ht="19.5" customHeight="1">
      <c r="A2" s="65" t="inlineStr">
        <is>
          <t>HOW TO USE THIS TAB</t>
        </is>
      </c>
    </row>
    <row r="3" ht="15.75" customHeight="1">
      <c r="A3" s="66" t="inlineStr">
        <is>
          <t>Exchanges frequently issue incomplete or no 1099s for airdrops, hard forks, and staking rewards, and Axcess has no blockchain data feed. Fair market value at receipt establishes both ordinary income and basis for later disposal.</t>
        </is>
      </c>
    </row>
    <row r="4" ht="25.5" customHeight="1">
      <c r="A4" s="67" t="inlineStr">
        <is>
          <t>1) One row per taxable crypto event: airdrop, hard fork, staking/mining reward, or a disposal (sale/swap/spend).</t>
        </is>
      </c>
    </row>
    <row r="5" ht="25.5" customHeight="1">
      <c r="A5" s="67" t="inlineStr">
        <is>
          <t>2) For receipt events (airdrop/fork/staking): enter Units Received and FMV per Unit at receipt — this is both ordinary income (Schedule 1, Other Income, or Schedule C if a trade/business) and the cost basis going forward.</t>
        </is>
      </c>
    </row>
    <row r="6" ht="25.5" customHeight="1">
      <c r="A6" s="67" t="inlineStr">
        <is>
          <t>3) For disposals: enter Units Disposed, Proceeds, and reference the FMV-at-receipt basis from the matching receipt row (via Notes) to compute the capital gain/loss for Form 8949.</t>
        </is>
      </c>
    </row>
    <row r="7" ht="25.5" customHeight="1">
      <c r="A7" s="67" t="inlineStr">
        <is>
          <t>4) Enter the total ordinary income column as an override on Schedule 1, Part I, Line 8v (Digital Assets) or Schedule C as appropriate; enter each disposal as its own Form 8949 line with basis sourced from this ledger.</t>
        </is>
      </c>
    </row>
    <row r="8" ht="25.5" customHeight="1">
      <c r="A8" s="67" t="inlineStr">
        <is>
          <t>5) Keep this ledger as the permanent basis-tracking record — Axcess does not carry crypto basis history between years on its own.</t>
        </is>
      </c>
    </row>
    <row r="9" ht="13.5" customHeight="1">
      <c r="A9" s="68" t="inlineStr">
        <is>
          <t>Source: IRS Digital Asset guidance and Form 1040 question — irs.gov/filing/digital-assets</t>
        </is>
      </c>
    </row>
    <row r="10" ht="13.5" customHeight="1">
      <c r="A10" s="68" t="inlineStr">
        <is>
          <t>Source: IRS Rev. Rul. 2019-24 — hard forks and airdrops — irs.gov/pub/irs-drop/rr-19-24.pdf</t>
        </is>
      </c>
    </row>
    <row r="12" ht="30" customHeight="1">
      <c r="A12" s="2" t="inlineStr">
        <is>
          <t>Asset / Wallet</t>
        </is>
      </c>
      <c r="B12" s="2" t="inlineStr">
        <is>
          <t>Event Type (Airdrop/Fork/Stake/Disposal)</t>
        </is>
      </c>
      <c r="C12" s="2" t="inlineStr">
        <is>
          <t>Units</t>
        </is>
      </c>
      <c r="D12" s="2" t="inlineStr">
        <is>
          <t>FMV per Unit at Event ($)</t>
        </is>
      </c>
      <c r="E12" s="2" t="inlineStr">
        <is>
          <t>Total ($ Income or Proceeds — override)</t>
        </is>
      </c>
      <c r="F12" s="2" t="inlineStr">
        <is>
          <t>Ordinary or Capital?</t>
        </is>
      </c>
      <c r="G12" s="2" t="inlineStr">
        <is>
          <t>Notes / Matched Basis Ref.</t>
        </is>
      </c>
    </row>
    <row r="13">
      <c r="A13" s="57" t="n"/>
      <c r="B13" s="57" t="n"/>
      <c r="C13" s="3" t="n"/>
      <c r="D13" s="3" t="n"/>
      <c r="E13" s="3">
        <f>C13*D13</f>
        <v/>
      </c>
      <c r="F13" s="57" t="n"/>
      <c r="G13" s="57" t="n"/>
    </row>
    <row r="14">
      <c r="A14" s="70" t="n"/>
      <c r="B14" s="70" t="n"/>
      <c r="C14" s="5" t="n"/>
      <c r="D14" s="5" t="n"/>
      <c r="E14" s="5">
        <f>C14*D14</f>
        <v/>
      </c>
      <c r="F14" s="70" t="n"/>
      <c r="G14" s="70" t="n"/>
    </row>
    <row r="15">
      <c r="A15" s="57" t="n"/>
      <c r="B15" s="57" t="n"/>
      <c r="C15" s="3" t="n"/>
      <c r="D15" s="3" t="n"/>
      <c r="E15" s="3">
        <f>C15*D15</f>
        <v/>
      </c>
      <c r="F15" s="57" t="n"/>
      <c r="G15" s="57" t="n"/>
    </row>
    <row r="16">
      <c r="A16" s="70" t="n"/>
      <c r="B16" s="70" t="n"/>
      <c r="C16" s="5" t="n"/>
      <c r="D16" s="5" t="n"/>
      <c r="E16" s="5">
        <f>C16*D16</f>
        <v/>
      </c>
      <c r="F16" s="70" t="n"/>
      <c r="G16" s="70" t="n"/>
    </row>
    <row r="17">
      <c r="A17" s="57" t="n"/>
      <c r="B17" s="57" t="n"/>
      <c r="C17" s="3" t="n"/>
      <c r="D17" s="3" t="n"/>
      <c r="E17" s="3">
        <f>C17*D17</f>
        <v/>
      </c>
      <c r="F17" s="57" t="n"/>
      <c r="G17" s="57" t="n"/>
    </row>
    <row r="18">
      <c r="A18" s="70" t="n"/>
      <c r="B18" s="70" t="n"/>
      <c r="C18" s="5" t="n"/>
      <c r="D18" s="5" t="n"/>
      <c r="E18" s="5">
        <f>C18*D18</f>
        <v/>
      </c>
      <c r="F18" s="70" t="n"/>
      <c r="G18" s="70" t="n"/>
    </row>
    <row r="19">
      <c r="A19" s="57" t="n"/>
      <c r="B19" s="57" t="n"/>
      <c r="C19" s="3" t="n"/>
      <c r="D19" s="3" t="n"/>
      <c r="E19" s="3">
        <f>C19*D19</f>
        <v/>
      </c>
      <c r="F19" s="57" t="n"/>
      <c r="G19" s="57" t="n"/>
    </row>
    <row r="20">
      <c r="A20" s="70" t="n"/>
      <c r="B20" s="70" t="n"/>
      <c r="C20" s="5" t="n"/>
      <c r="D20" s="5" t="n"/>
      <c r="E20" s="5">
        <f>C20*D20</f>
        <v/>
      </c>
      <c r="F20" s="70" t="n"/>
      <c r="G20" s="70" t="n"/>
    </row>
    <row r="21">
      <c r="A21" s="57" t="n"/>
      <c r="B21" s="57" t="n"/>
      <c r="C21" s="3" t="n"/>
      <c r="D21" s="3" t="n"/>
      <c r="E21" s="3">
        <f>C21*D21</f>
        <v/>
      </c>
      <c r="F21" s="57" t="n"/>
      <c r="G21" s="57" t="n"/>
    </row>
    <row r="22">
      <c r="A22" s="70" t="n"/>
      <c r="B22" s="70" t="n"/>
      <c r="C22" s="5" t="n"/>
      <c r="D22" s="5" t="n"/>
      <c r="E22" s="5">
        <f>C22*D22</f>
        <v/>
      </c>
      <c r="F22" s="70" t="n"/>
      <c r="G22" s="70" t="n"/>
    </row>
    <row r="23">
      <c r="A23" s="10" t="inlineStr">
        <is>
          <t>TOTAL</t>
        </is>
      </c>
      <c r="B23" s="10" t="n"/>
      <c r="C23" s="11">
        <f>SUM(C13:C22)</f>
        <v/>
      </c>
      <c r="D23" s="11">
        <f>SUM(D13:D22)</f>
        <v/>
      </c>
      <c r="E23" s="11">
        <f>SUM(E13:E22)</f>
        <v/>
      </c>
      <c r="F23" s="10" t="n"/>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22.xml><?xml version="1.0" encoding="utf-8"?>
<worksheet xmlns="http://schemas.openxmlformats.org/spreadsheetml/2006/main">
  <sheetPr>
    <outlinePr summaryBelow="1" summaryRight="1"/>
    <pageSetUpPr/>
  </sheetPr>
  <dimension ref="A1:G17"/>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30" customWidth="1" min="1" max="1"/>
    <col width="18" customWidth="1" min="2" max="4"/>
    <col width="30" customWidth="1" min="5" max="5"/>
    <col width="18" customWidth="1" min="6" max="6"/>
    <col width="22" customWidth="1" min="7" max="7"/>
  </cols>
  <sheetData>
    <row r="1" ht="25.5" customHeight="1">
      <c r="A1" s="64" t="inlineStr">
        <is>
          <t>CANCELLATION OF DEBT — INSOLVENCY EXCLUSION WORKSHEET (§108 / Form 982)</t>
        </is>
      </c>
    </row>
    <row r="2" ht="19.5" customHeight="1">
      <c r="A2" s="65" t="inlineStr">
        <is>
          <t>HOW TO USE THIS TAB</t>
        </is>
      </c>
    </row>
    <row r="3" ht="15.75" customHeight="1">
      <c r="A3" s="66" t="inlineStr">
        <is>
          <t>A 1099-C pulls straight into ordinary income by default. If the client was insolvent immediately before the cancellation, some or all of that income can be excluded — but Axcess cannot test insolvency on its own; you must build the balance sheet and elect the exclusion manually on Form 982.</t>
        </is>
      </c>
    </row>
    <row r="4" ht="25.5" customHeight="1">
      <c r="A4" s="67" t="inlineStr">
        <is>
          <t>1) Build an insolvency balance sheet AS OF THE DAY BEFORE the debt cancellation: list Total FMV of Assets and Total Liabilities (including the debt being cancelled) in the input cells below.</t>
        </is>
      </c>
    </row>
    <row r="5" ht="25.5" customHeight="1">
      <c r="A5" s="67" t="inlineStr">
        <is>
          <t>2) 'Insolvency Amount' = Liabilities − Assets (floor of zero). The excludable COD income is the LESSER of the 1099-C amount or the Insolvency Amount.</t>
        </is>
      </c>
    </row>
    <row r="6" ht="25.5" customHeight="1">
      <c r="A6" s="67" t="inlineStr">
        <is>
          <t>3) Enter the 1099-C amount, let the worksheet compute the excludable and taxable split, then complete the Form 982 worksheets in Axcess: check the insolvency box, enter the Excluded Amount, and reduce the applicable tax attributes (NOLs, credit carryovers, basis) per Form 982 Part II ordering rules — this attribute reduction is itself a manual entry Axcess will not compute automatically.</t>
        </is>
      </c>
    </row>
    <row r="7" ht="13.5" customHeight="1">
      <c r="A7" s="68" t="inlineStr">
        <is>
          <t>Source: IRS Instructions for Form 982 — irs.gov/instructions/i982</t>
        </is>
      </c>
    </row>
    <row r="8" ht="13.5" customHeight="1">
      <c r="A8" s="68" t="inlineStr">
        <is>
          <t>Source: IRS Pub. 4681 — Canceled Debts, Foreclosures, Repossessions, and Abandonments — irs.gov/publications/p4681</t>
        </is>
      </c>
    </row>
    <row r="10" ht="30" customHeight="1">
      <c r="A10" s="2" t="inlineStr">
        <is>
          <t>Debt Cancelled / Creditor</t>
        </is>
      </c>
      <c r="B10" s="2" t="inlineStr">
        <is>
          <t>Total FMV of Assets (day before cancellation)</t>
        </is>
      </c>
      <c r="C10" s="2" t="inlineStr">
        <is>
          <t>Total Liabilities incl. cancelled debt (day before)</t>
        </is>
      </c>
      <c r="D10" s="2" t="inlineStr">
        <is>
          <t>1099-C Amount</t>
        </is>
      </c>
      <c r="E10" s="2" t="inlineStr">
        <is>
          <t>Excludable / Taxable Split — Notes</t>
        </is>
      </c>
      <c r="F10" s="2" t="inlineStr">
        <is>
          <t>Insolvency Amount (Liab-Assets)</t>
        </is>
      </c>
      <c r="G10" s="2" t="inlineStr">
        <is>
          <t>Excludable COD Income (override on Form 982)</t>
        </is>
      </c>
    </row>
    <row r="11">
      <c r="A11" s="57" t="n"/>
      <c r="B11" s="3" t="n"/>
      <c r="C11" s="3" t="n"/>
      <c r="D11" s="3" t="n"/>
      <c r="E11" s="57" t="n"/>
      <c r="F11" s="7">
        <f>MAX(0,C11-B11)</f>
        <v/>
      </c>
      <c r="G11" s="7">
        <f>MIN(D11,F11)</f>
        <v/>
      </c>
    </row>
    <row r="12">
      <c r="A12" s="70" t="n"/>
      <c r="B12" s="5" t="n"/>
      <c r="C12" s="5" t="n"/>
      <c r="D12" s="5" t="n"/>
      <c r="E12" s="70" t="n"/>
      <c r="F12" s="9">
        <f>MAX(0,C12-B12)</f>
        <v/>
      </c>
      <c r="G12" s="9">
        <f>MIN(D12,F12)</f>
        <v/>
      </c>
    </row>
    <row r="13">
      <c r="A13" s="57" t="n"/>
      <c r="B13" s="3" t="n"/>
      <c r="C13" s="3" t="n"/>
      <c r="D13" s="3" t="n"/>
      <c r="E13" s="57" t="n"/>
      <c r="F13" s="7">
        <f>MAX(0,C13-B13)</f>
        <v/>
      </c>
      <c r="G13" s="7">
        <f>MIN(D13,F13)</f>
        <v/>
      </c>
    </row>
    <row r="14">
      <c r="A14" s="70" t="n"/>
      <c r="B14" s="5" t="n"/>
      <c r="C14" s="5" t="n"/>
      <c r="D14" s="5" t="n"/>
      <c r="E14" s="70" t="n"/>
      <c r="F14" s="9">
        <f>MAX(0,C14-B14)</f>
        <v/>
      </c>
      <c r="G14" s="9">
        <f>MIN(D14,F14)</f>
        <v/>
      </c>
    </row>
    <row r="15">
      <c r="A15" s="57" t="n"/>
      <c r="B15" s="3" t="n"/>
      <c r="C15" s="3" t="n"/>
      <c r="D15" s="3" t="n"/>
      <c r="E15" s="57" t="n"/>
      <c r="F15" s="7">
        <f>MAX(0,C15-B15)</f>
        <v/>
      </c>
      <c r="G15" s="7">
        <f>MIN(D15,F15)</f>
        <v/>
      </c>
    </row>
    <row r="16">
      <c r="A16" s="70" t="n"/>
      <c r="B16" s="5" t="n"/>
      <c r="C16" s="5" t="n"/>
      <c r="D16" s="5" t="n"/>
      <c r="E16" s="70" t="n"/>
      <c r="F16" s="9">
        <f>MAX(0,C16-B16)</f>
        <v/>
      </c>
      <c r="G16" s="9">
        <f>MIN(D16,F16)</f>
        <v/>
      </c>
    </row>
    <row r="17">
      <c r="A17" s="10" t="inlineStr">
        <is>
          <t>TOTAL</t>
        </is>
      </c>
      <c r="B17" s="11">
        <f>SUM(B11:B16)</f>
        <v/>
      </c>
      <c r="C17" s="11">
        <f>SUM(C11:C16)</f>
        <v/>
      </c>
      <c r="D17" s="11">
        <f>SUM(D11:D16)</f>
        <v/>
      </c>
      <c r="E17" s="10" t="n"/>
    </row>
  </sheetData>
  <mergeCells count="8">
    <mergeCell ref="A4:E4"/>
    <mergeCell ref="A2:E2"/>
    <mergeCell ref="A7:E7"/>
    <mergeCell ref="A5:E5"/>
    <mergeCell ref="A1:E1"/>
    <mergeCell ref="A8:E8"/>
    <mergeCell ref="A6:E6"/>
    <mergeCell ref="A3:E3"/>
  </mergeCells>
  <pageMargins left="0.75" right="0.75" top="1" bottom="1" header="0.511811023622047" footer="0.511811023622047"/>
  <pageSetup orientation="portrait" paperSize="9" horizontalDpi="300" verticalDpi="300"/>
</worksheet>
</file>

<file path=xl/worksheets/sheet23.xml><?xml version="1.0" encoding="utf-8"?>
<worksheet xmlns="http://schemas.openxmlformats.org/spreadsheetml/2006/main">
  <sheetPr>
    <outlinePr summaryBelow="1" summaryRight="1"/>
    <pageSetUpPr/>
  </sheetPr>
  <dimension ref="A1:K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 width="18" customWidth="1" min="8" max="11"/>
  </cols>
  <sheetData>
    <row r="1" ht="25.5" customHeight="1">
      <c r="A1" s="64" t="inlineStr">
        <is>
          <t>INVOLUNTARY CONVERSION — §1033 REPLACEMENT-PROPERTY TRACKER</t>
        </is>
      </c>
    </row>
    <row r="2" ht="19.5" customHeight="1">
      <c r="A2" s="65" t="inlineStr">
        <is>
          <t>HOW TO USE THIS TAB</t>
        </is>
      </c>
    </row>
    <row r="3" ht="15.75" customHeight="1">
      <c r="A3" s="66" t="inlineStr">
        <is>
          <t>Gain on insurance/condemnation proceeds exceeding basis can be deferred if qualifying replacement property is purchased within the statutory window (generally 2 years for most property, 3 years for condemned real property used in a trade/business or held for investment). Axcess has no multi-year deferred-gain ledger.</t>
        </is>
      </c>
    </row>
    <row r="4" ht="25.5" customHeight="1">
      <c r="A4" s="67" t="inlineStr">
        <is>
          <t>1) Enter the Conversion Event Date, Insurance/Condemnation Proceeds, and Adjusted Basis of the converted property. 'Realized Gain' and the Replacement Deadline compute automatically (deadline defaults to 2 years; override the Years to Replace input if the 3-year real-property rule applies).</t>
        </is>
      </c>
    </row>
    <row r="5" ht="25.5" customHeight="1">
      <c r="A5" s="67" t="inlineStr">
        <is>
          <t>2) When replacement property is purchased, enter its Cost — 'Gain Deferred' and 'Gain Recognized Now' compute (recognized gain = proceeds not reinvested, capped at realized gain).</t>
        </is>
      </c>
    </row>
    <row r="6" ht="25.5" customHeight="1">
      <c r="A6" s="67" t="inlineStr">
        <is>
          <t>3) If the deadline passes with no qualifying replacement, the full realized gain must be recognized — go back into Gains and Losses in Axcess (or amend, if the deadline was discovered after filing) and remove any deferral.</t>
        </is>
      </c>
    </row>
    <row r="7" ht="25.5" customHeight="1">
      <c r="A7" s="67" t="inlineStr">
        <is>
          <t>4) Enter the Gain Recognized Now as the taxable amount on the Capital Gains and Losses worksheet; keep Deferred Gain and the replacement basis reduction as an off-system carryforward note for the replacement asset's basis.</t>
        </is>
      </c>
    </row>
    <row r="8" ht="13.5" customHeight="1">
      <c r="A8" s="68" t="inlineStr">
        <is>
          <t>Source: IRC §1033 — Involuntary conversions — law.cornell.edu/uscode/text/26/1033</t>
        </is>
      </c>
    </row>
    <row r="9" ht="13.5" customHeight="1">
      <c r="A9" s="68" t="inlineStr">
        <is>
          <t>Source: IRS Pub. 544 — Sales and Other Dispositions of Assets — irs.gov/publications/p544</t>
        </is>
      </c>
    </row>
    <row r="11" ht="30" customHeight="1">
      <c r="A11" s="2" t="inlineStr">
        <is>
          <t>Property Converted</t>
        </is>
      </c>
      <c r="B11" s="2" t="inlineStr">
        <is>
          <t>Conversion Date</t>
        </is>
      </c>
      <c r="C11" s="2" t="inlineStr">
        <is>
          <t>Proceeds Received</t>
        </is>
      </c>
      <c r="D11" s="2" t="inlineStr">
        <is>
          <t>Adjusted Basis</t>
        </is>
      </c>
      <c r="E11" s="2" t="inlineStr">
        <is>
          <t>Years to Replace (2 or 3)</t>
        </is>
      </c>
      <c r="F11" s="2" t="inlineStr">
        <is>
          <t>Replacement Cost (once purchased)</t>
        </is>
      </c>
      <c r="G11" s="2" t="inlineStr">
        <is>
          <t>Notes</t>
        </is>
      </c>
      <c r="H11" s="2" t="inlineStr">
        <is>
          <t>Realized Gain</t>
        </is>
      </c>
      <c r="I11" s="2" t="inlineStr">
        <is>
          <t>Replacement Deadline (event date + years)</t>
        </is>
      </c>
      <c r="J11" s="2" t="inlineStr">
        <is>
          <t>Gain Deferred</t>
        </is>
      </c>
      <c r="K11" s="2" t="inlineStr">
        <is>
          <t>Gain Recognized Now (override)</t>
        </is>
      </c>
    </row>
    <row r="12">
      <c r="A12" s="57" t="n"/>
      <c r="B12" s="57" t="n"/>
      <c r="C12" s="3" t="n"/>
      <c r="D12" s="3" t="n"/>
      <c r="E12" s="3" t="n"/>
      <c r="F12" s="3" t="n"/>
      <c r="G12" s="57" t="n"/>
      <c r="H12" s="7">
        <f>MAX(0,C12-D12)</f>
        <v/>
      </c>
      <c r="I12" s="6">
        <f>IF(AND(B12&lt;&gt;"",E12&lt;&gt;""),DATE(YEAR(B12)+E12,12,31),"")</f>
        <v/>
      </c>
      <c r="J12" s="7">
        <f>MIN(H12,F12)</f>
        <v/>
      </c>
      <c r="K12" s="7">
        <f>MAX(0,H12-J12)</f>
        <v/>
      </c>
    </row>
    <row r="13">
      <c r="A13" s="70" t="n"/>
      <c r="B13" s="70" t="n"/>
      <c r="C13" s="5" t="n"/>
      <c r="D13" s="5" t="n"/>
      <c r="E13" s="5" t="n"/>
      <c r="F13" s="5" t="n"/>
      <c r="G13" s="70" t="n"/>
      <c r="H13" s="9">
        <f>MAX(0,C13-D13)</f>
        <v/>
      </c>
      <c r="I13" s="8">
        <f>IF(AND(B13&lt;&gt;"",E13&lt;&gt;""),DATE(YEAR(B13)+E13,12,31),"")</f>
        <v/>
      </c>
      <c r="J13" s="9">
        <f>MIN(H13,F13)</f>
        <v/>
      </c>
      <c r="K13" s="9">
        <f>MAX(0,H13-J13)</f>
        <v/>
      </c>
    </row>
    <row r="14">
      <c r="A14" s="57" t="n"/>
      <c r="B14" s="57" t="n"/>
      <c r="C14" s="3" t="n"/>
      <c r="D14" s="3" t="n"/>
      <c r="E14" s="3" t="n"/>
      <c r="F14" s="3" t="n"/>
      <c r="G14" s="57" t="n"/>
      <c r="H14" s="7">
        <f>MAX(0,C14-D14)</f>
        <v/>
      </c>
      <c r="I14" s="6">
        <f>IF(AND(B14&lt;&gt;"",E14&lt;&gt;""),DATE(YEAR(B14)+E14,12,31),"")</f>
        <v/>
      </c>
      <c r="J14" s="7">
        <f>MIN(H14,F14)</f>
        <v/>
      </c>
      <c r="K14" s="7">
        <f>MAX(0,H14-J14)</f>
        <v/>
      </c>
    </row>
    <row r="15">
      <c r="A15" s="70" t="n"/>
      <c r="B15" s="70" t="n"/>
      <c r="C15" s="5" t="n"/>
      <c r="D15" s="5" t="n"/>
      <c r="E15" s="5" t="n"/>
      <c r="F15" s="5" t="n"/>
      <c r="G15" s="70" t="n"/>
      <c r="H15" s="9">
        <f>MAX(0,C15-D15)</f>
        <v/>
      </c>
      <c r="I15" s="8">
        <f>IF(AND(B15&lt;&gt;"",E15&lt;&gt;""),DATE(YEAR(B15)+E15,12,31),"")</f>
        <v/>
      </c>
      <c r="J15" s="9">
        <f>MIN(H15,F15)</f>
        <v/>
      </c>
      <c r="K15" s="9">
        <f>MAX(0,H15-J15)</f>
        <v/>
      </c>
    </row>
    <row r="16">
      <c r="A16" s="57" t="n"/>
      <c r="B16" s="57" t="n"/>
      <c r="C16" s="3" t="n"/>
      <c r="D16" s="3" t="n"/>
      <c r="E16" s="3" t="n"/>
      <c r="F16" s="3" t="n"/>
      <c r="G16" s="57" t="n"/>
      <c r="H16" s="7">
        <f>MAX(0,C16-D16)</f>
        <v/>
      </c>
      <c r="I16" s="6">
        <f>IF(AND(B16&lt;&gt;"",E16&lt;&gt;""),DATE(YEAR(B16)+E16,12,31),"")</f>
        <v/>
      </c>
      <c r="J16" s="7">
        <f>MIN(H16,F16)</f>
        <v/>
      </c>
      <c r="K16" s="7">
        <f>MAX(0,H16-J16)</f>
        <v/>
      </c>
    </row>
    <row r="17">
      <c r="A17" s="70" t="n"/>
      <c r="B17" s="70" t="n"/>
      <c r="C17" s="5" t="n"/>
      <c r="D17" s="5" t="n"/>
      <c r="E17" s="5" t="n"/>
      <c r="F17" s="5" t="n"/>
      <c r="G17" s="70" t="n"/>
      <c r="H17" s="9">
        <f>MAX(0,C17-D17)</f>
        <v/>
      </c>
      <c r="I17" s="8">
        <f>IF(AND(B17&lt;&gt;"",E17&lt;&gt;""),DATE(YEAR(B17)+E17,12,31),"")</f>
        <v/>
      </c>
      <c r="J17" s="9">
        <f>MIN(H17,F17)</f>
        <v/>
      </c>
      <c r="K17" s="9">
        <f>MAX(0,H17-J17)</f>
        <v/>
      </c>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4.xml><?xml version="1.0" encoding="utf-8"?>
<worksheet xmlns="http://schemas.openxmlformats.org/spreadsheetml/2006/main">
  <sheetPr>
    <outlinePr summaryBelow="1" summaryRight="1"/>
    <pageSetUpPr/>
  </sheetPr>
  <dimension ref="A1:H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2" customWidth="1" min="1" max="1"/>
    <col width="16" customWidth="1" min="2" max="2"/>
    <col width="14" customWidth="1" min="3" max="3"/>
    <col width="16" customWidth="1" min="4" max="7"/>
    <col width="26" customWidth="1" min="8" max="8"/>
  </cols>
  <sheetData>
    <row r="1" ht="25.5" customHeight="1">
      <c r="A1" s="64" t="inlineStr">
        <is>
          <t>CORP REORG BOOT (§356) / LIQUIDATION (§331) / CONSTRUCTIVE SALE (§1259) / §1244 STOCK TRACKER</t>
        </is>
      </c>
    </row>
    <row r="2" ht="19.5" customHeight="1">
      <c r="A2" s="65" t="inlineStr">
        <is>
          <t>HOW TO USE THIS TAB</t>
        </is>
      </c>
    </row>
    <row r="3" ht="15.75" customHeight="1">
      <c r="A3" s="66" t="inlineStr">
        <is>
          <t>One consolidated log for four distinct shareholder-level stock events Axcess cannot compute from a broker statement alone: merger boot, corporate liquidation, constructive sales (short-against-the-box), and §1244 small-business-stock ordinary loss treatment.</t>
        </is>
      </c>
    </row>
    <row r="4" ht="25.5" customHeight="1">
      <c r="A4" s="67" t="inlineStr">
        <is>
          <t>1) One row per event; select the Event Type in column B (Reorg Boot / Liquidation / Constructive Sale / §1244).</t>
        </is>
      </c>
    </row>
    <row r="5" ht="25.5" customHeight="1">
      <c r="A5" s="67" t="inlineStr">
        <is>
          <t>2) Reorg Boot (§356): enter Shareholder's Outside Basis and FMV of Boot Received (cash + non-qualifying property). Gain recognized = lesser of realized gain or boot received; if the boot has the effect of a dividend under §356(a)(2), route it to Dividend Income (1099-DIV input) instead of Schedule D.</t>
        </is>
      </c>
    </row>
    <row r="6" ht="25.5" customHeight="1">
      <c r="A6" s="67" t="inlineStr">
        <is>
          <t>3) Liquidation (§331): enter Outside Stock Basis and Liquidating Distribution FMV; treat the difference as a capital gain/loss on the Capital Gains and Losses worksheet, using the stock's original holding period.</t>
        </is>
      </c>
    </row>
    <row r="7" ht="25.5" customHeight="1">
      <c r="A7" s="67" t="inlineStr">
        <is>
          <t>4) Constructive Sale (§1259): enter the FMV on the date of the short-against-the-box lock-in and the shareholder's original basis; the gain must be recognized on that lock-in date, not the eventual closing date — override the transaction date on the Form 8949 input to the constructive-sale date.</t>
        </is>
      </c>
    </row>
    <row r="8" ht="25.5" customHeight="1">
      <c r="A8" s="67" t="inlineStr">
        <is>
          <t>5) §1244 stock: enter the loss amount and confirm the stock meets the small-business capitalization requirements (aggregate capital ≤ $1M at issuance, originally issued for cash/property, domestic C or S corp); change the transaction category on the Capital Gains worksheet from 'Capital' to 'Section 1244 Ordinary Loss' up to $50,000 ($100,000 MFJ), with any excess remaining a capital loss on Schedule D.</t>
        </is>
      </c>
    </row>
    <row r="9" ht="13.5" customHeight="1">
      <c r="A9" s="68" t="inlineStr">
        <is>
          <t>Source: IRC §356 — Receipt of additional consideration (boot) — law.cornell.edu/uscode/text/26/356</t>
        </is>
      </c>
    </row>
    <row r="10" ht="13.5" customHeight="1">
      <c r="A10" s="68" t="inlineStr">
        <is>
          <t>Source: IRC §331 — Gain or loss to shareholder in corporate liquidations — law.cornell.edu/uscode/text/26/331</t>
        </is>
      </c>
    </row>
    <row r="11" ht="13.5" customHeight="1">
      <c r="A11" s="68" t="inlineStr">
        <is>
          <t>Source: IRC §1259 — Constructive sales treatment for appreciated financial positions — law.cornell.edu/uscode/text/26/1259</t>
        </is>
      </c>
    </row>
    <row r="12" ht="13.5" customHeight="1">
      <c r="A12" s="68" t="inlineStr">
        <is>
          <t>Source: IRC §1244 — Losses on small business stock — law.cornell.edu/uscode/text/26/1244</t>
        </is>
      </c>
    </row>
    <row r="14" ht="30" customHeight="1">
      <c r="A14" s="2" t="inlineStr">
        <is>
          <t>Company / Stock</t>
        </is>
      </c>
      <c r="B14" s="2" t="inlineStr">
        <is>
          <t>Event Type</t>
        </is>
      </c>
      <c r="C14" s="2" t="inlineStr">
        <is>
          <t>Event Date</t>
        </is>
      </c>
      <c r="D14" s="2" t="inlineStr">
        <is>
          <t>Shareholder Basis</t>
        </is>
      </c>
      <c r="E14" s="2" t="inlineStr">
        <is>
          <t>FMV Received / Boot / Loss Amount</t>
        </is>
      </c>
      <c r="F14" s="2" t="inlineStr">
        <is>
          <t>Recognized Gain/Loss or Ordinary Loss (override)</t>
        </is>
      </c>
      <c r="G14" s="2" t="inlineStr">
        <is>
          <t>Dividend vs. Capital Char.</t>
        </is>
      </c>
      <c r="H14" s="2" t="inlineStr">
        <is>
          <t>Notes</t>
        </is>
      </c>
    </row>
    <row r="15">
      <c r="A15" s="57" t="n"/>
      <c r="B15" s="57" t="n"/>
      <c r="C15" s="57" t="n"/>
      <c r="D15" s="3" t="n"/>
      <c r="E15" s="3" t="n"/>
      <c r="F15" s="3" t="n"/>
      <c r="G15" s="57" t="n"/>
      <c r="H15" s="57" t="n"/>
    </row>
    <row r="16">
      <c r="A16" s="70" t="n"/>
      <c r="B16" s="70" t="n"/>
      <c r="C16" s="70" t="n"/>
      <c r="D16" s="5" t="n"/>
      <c r="E16" s="5" t="n"/>
      <c r="F16" s="5" t="n"/>
      <c r="G16" s="70" t="n"/>
      <c r="H16" s="70" t="n"/>
    </row>
    <row r="17">
      <c r="A17" s="57" t="n"/>
      <c r="B17" s="57" t="n"/>
      <c r="C17" s="57" t="n"/>
      <c r="D17" s="3" t="n"/>
      <c r="E17" s="3" t="n"/>
      <c r="F17" s="3" t="n"/>
      <c r="G17" s="57" t="n"/>
      <c r="H17" s="57" t="n"/>
    </row>
    <row r="18">
      <c r="A18" s="70" t="n"/>
      <c r="B18" s="70" t="n"/>
      <c r="C18" s="70" t="n"/>
      <c r="D18" s="5" t="n"/>
      <c r="E18" s="5" t="n"/>
      <c r="F18" s="5" t="n"/>
      <c r="G18" s="70" t="n"/>
      <c r="H18" s="70" t="n"/>
    </row>
    <row r="19">
      <c r="A19" s="57" t="n"/>
      <c r="B19" s="57" t="n"/>
      <c r="C19" s="57" t="n"/>
      <c r="D19" s="3" t="n"/>
      <c r="E19" s="3" t="n"/>
      <c r="F19" s="3" t="n"/>
      <c r="G19" s="57" t="n"/>
      <c r="H19" s="57" t="n"/>
    </row>
    <row r="20">
      <c r="A20" s="70" t="n"/>
      <c r="B20" s="70" t="n"/>
      <c r="C20" s="70" t="n"/>
      <c r="D20" s="5" t="n"/>
      <c r="E20" s="5" t="n"/>
      <c r="F20" s="5" t="n"/>
      <c r="G20" s="70" t="n"/>
      <c r="H20" s="70" t="n"/>
    </row>
    <row r="21">
      <c r="A21" s="57" t="n"/>
      <c r="B21" s="57" t="n"/>
      <c r="C21" s="57" t="n"/>
      <c r="D21" s="3" t="n"/>
      <c r="E21" s="3" t="n"/>
      <c r="F21" s="3" t="n"/>
      <c r="G21" s="57" t="n"/>
      <c r="H21" s="57" t="n"/>
    </row>
    <row r="22">
      <c r="A22" s="70" t="n"/>
      <c r="B22" s="70" t="n"/>
      <c r="C22" s="70" t="n"/>
      <c r="D22" s="5" t="n"/>
      <c r="E22" s="5" t="n"/>
      <c r="F22" s="5" t="n"/>
      <c r="G22" s="70" t="n"/>
      <c r="H22" s="70" t="n"/>
    </row>
  </sheetData>
  <mergeCells count="12">
    <mergeCell ref="A12:H12"/>
    <mergeCell ref="A4:H4"/>
    <mergeCell ref="A9:H9"/>
    <mergeCell ref="A3:H3"/>
    <mergeCell ref="A1:H1"/>
    <mergeCell ref="A7:H7"/>
    <mergeCell ref="A2:H2"/>
    <mergeCell ref="A10:H10"/>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25.xml><?xml version="1.0" encoding="utf-8"?>
<worksheet xmlns="http://schemas.openxmlformats.org/spreadsheetml/2006/main">
  <sheetPr>
    <outlinePr summaryBelow="1" summaryRight="1"/>
    <pageSetUpPr/>
  </sheetPr>
  <dimension ref="A1:G18"/>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16" customWidth="1" min="1" max="6"/>
    <col width="26" customWidth="1" min="7" max="7"/>
  </cols>
  <sheetData>
    <row r="1" ht="25.5" customHeight="1">
      <c r="A1" s="64" t="inlineStr">
        <is>
          <t>MULTI-STATE COMPENSATION ALLOCATION — DAY-COUNT WORKSHEET</t>
        </is>
      </c>
    </row>
    <row r="2" ht="19.5" customHeight="1">
      <c r="A2" s="65" t="inlineStr">
        <is>
          <t>HOW TO USE THIS TAB</t>
        </is>
      </c>
    </row>
    <row r="3" ht="15.75" customHeight="1">
      <c r="A3" s="66" t="inlineStr">
        <is>
          <t>A single W-2 for a mobile executive often reports wages only to the home/payroll state even though work was performed in several states. Axcess cannot split Box 1 wages by workday location on its own — you need a day-count log.</t>
        </is>
      </c>
    </row>
    <row r="4" ht="25.5" customHeight="1">
      <c r="A4" s="67" t="inlineStr">
        <is>
          <t>1) One row per state the client worked in during the year. Enter Workdays in State and Total Workdays for the year (exclude weekends/holidays/PTO per the state's own definition — some states count differently; verify each state's specific day-counting convention before relying on a single ratio for every state).</t>
        </is>
      </c>
    </row>
    <row r="5" ht="25.5" customHeight="1">
      <c r="A5" s="67" t="inlineStr">
        <is>
          <t>2) 'Allocation %' and 'Allocated Wages' compute automatically off Total Federal Wages.</t>
        </is>
      </c>
    </row>
    <row r="6" ht="25.5" customHeight="1">
      <c r="A6" s="67" t="inlineStr">
        <is>
          <t>3) In Axcess, go to the Wages (W-2) worksheet and add a multi-state allocation row for each state, entering the computed Allocated Wages as the state wage override rather than the state box on the original W-2 (which usually reflects only the payroll/home state).</t>
        </is>
      </c>
    </row>
    <row r="7" ht="25.5" customHeight="1">
      <c r="A7" s="67" t="inlineStr">
        <is>
          <t>4) Watch for reciprocity agreements between neighboring states (which eliminate the need for allocation/dual filing) and convenience-of-the-employer rules (e.g., NY) that can override a straightforward day-count in certain states — flag these in Notes.</t>
        </is>
      </c>
    </row>
    <row r="8" ht="13.5" customHeight="1">
      <c r="A8" s="68" t="inlineStr">
        <is>
          <t>Source: Multistate day-count and nonresident sourcing background — support.cch.com/kb/solution/000056461</t>
        </is>
      </c>
    </row>
    <row r="10" ht="30" customHeight="1">
      <c r="A10" s="2" t="inlineStr">
        <is>
          <t>State</t>
        </is>
      </c>
      <c r="B10" s="2" t="inlineStr">
        <is>
          <t>Workdays in State</t>
        </is>
      </c>
      <c r="C10" s="2" t="inlineStr">
        <is>
          <t>Total Workdays (year)</t>
        </is>
      </c>
      <c r="D10" s="2" t="inlineStr">
        <is>
          <t>Total Federal W-2 Wages</t>
        </is>
      </c>
      <c r="E10" s="2" t="inlineStr">
        <is>
          <t>Allocation % (computed)</t>
        </is>
      </c>
      <c r="F10" s="2" t="inlineStr">
        <is>
          <t>Allocated Wages (override input per state)</t>
        </is>
      </c>
      <c r="G10" s="2" t="inlineStr">
        <is>
          <t>Notes (reciprocity / convenience rule?)</t>
        </is>
      </c>
    </row>
    <row r="11">
      <c r="A11" s="57" t="n"/>
      <c r="B11" s="3" t="n"/>
      <c r="C11" s="3" t="n"/>
      <c r="D11" s="3" t="n"/>
      <c r="E11" s="3">
        <f>IF(C11=0,0,B11/C11)</f>
        <v/>
      </c>
      <c r="F11" s="3">
        <f>E11*D11</f>
        <v/>
      </c>
      <c r="G11" s="57" t="n"/>
    </row>
    <row r="12">
      <c r="A12" s="70" t="n"/>
      <c r="B12" s="5" t="n"/>
      <c r="C12" s="5" t="n"/>
      <c r="D12" s="5" t="n"/>
      <c r="E12" s="5">
        <f>IF(C12=0,0,B12/C12)</f>
        <v/>
      </c>
      <c r="F12" s="5">
        <f>E12*D12</f>
        <v/>
      </c>
      <c r="G12" s="70" t="n"/>
    </row>
    <row r="13">
      <c r="A13" s="57" t="n"/>
      <c r="B13" s="3" t="n"/>
      <c r="C13" s="3" t="n"/>
      <c r="D13" s="3" t="n"/>
      <c r="E13" s="3">
        <f>IF(C13=0,0,B13/C13)</f>
        <v/>
      </c>
      <c r="F13" s="3">
        <f>E13*D13</f>
        <v/>
      </c>
      <c r="G13" s="57" t="n"/>
    </row>
    <row r="14">
      <c r="A14" s="70" t="n"/>
      <c r="B14" s="5" t="n"/>
      <c r="C14" s="5" t="n"/>
      <c r="D14" s="5" t="n"/>
      <c r="E14" s="5">
        <f>IF(C14=0,0,B14/C14)</f>
        <v/>
      </c>
      <c r="F14" s="5">
        <f>E14*D14</f>
        <v/>
      </c>
      <c r="G14" s="70" t="n"/>
    </row>
    <row r="15">
      <c r="A15" s="57" t="n"/>
      <c r="B15" s="3" t="n"/>
      <c r="C15" s="3" t="n"/>
      <c r="D15" s="3" t="n"/>
      <c r="E15" s="3">
        <f>IF(C15=0,0,B15/C15)</f>
        <v/>
      </c>
      <c r="F15" s="3">
        <f>E15*D15</f>
        <v/>
      </c>
      <c r="G15" s="57" t="n"/>
    </row>
    <row r="16">
      <c r="A16" s="70" t="n"/>
      <c r="B16" s="5" t="n"/>
      <c r="C16" s="5" t="n"/>
      <c r="D16" s="5" t="n"/>
      <c r="E16" s="5">
        <f>IF(C16=0,0,B16/C16)</f>
        <v/>
      </c>
      <c r="F16" s="5">
        <f>E16*D16</f>
        <v/>
      </c>
      <c r="G16" s="70" t="n"/>
    </row>
    <row r="17">
      <c r="A17" s="57" t="n"/>
      <c r="B17" s="3" t="n"/>
      <c r="C17" s="3" t="n"/>
      <c r="D17" s="3" t="n"/>
      <c r="E17" s="3">
        <f>IF(C17=0,0,B17/C17)</f>
        <v/>
      </c>
      <c r="F17" s="3">
        <f>E17*D17</f>
        <v/>
      </c>
      <c r="G17" s="57" t="n"/>
    </row>
    <row r="18">
      <c r="A18" s="70" t="n"/>
      <c r="B18" s="5" t="n"/>
      <c r="C18" s="5" t="n"/>
      <c r="D18" s="5" t="n"/>
      <c r="E18" s="5">
        <f>IF(C18=0,0,B18/C18)</f>
        <v/>
      </c>
      <c r="F18" s="5">
        <f>E18*D18</f>
        <v/>
      </c>
      <c r="G18" s="70" t="n"/>
    </row>
  </sheetData>
  <mergeCells count="8">
    <mergeCell ref="A1:G1"/>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6.xml><?xml version="1.0" encoding="utf-8"?>
<worksheet xmlns="http://schemas.openxmlformats.org/spreadsheetml/2006/main">
  <sheetPr>
    <outlinePr summaryBelow="1" summaryRight="1"/>
    <pageSetUpPr/>
  </sheetPr>
  <dimension ref="A1:F20"/>
  <sheetViews>
    <sheetView showGridLines="0" zoomScaleNormal="100" workbookViewId="0">
      <pane ySplit="10" topLeftCell="A11" activePane="bottomLeft" state="frozen"/>
      <selection pane="bottomLeft" activeCell="C29" sqref="C29"/>
    </sheetView>
  </sheetViews>
  <sheetFormatPr baseColWidth="8" defaultColWidth="8.6640625" defaultRowHeight="14.4"/>
  <cols>
    <col width="22" customWidth="1" min="1" max="1"/>
    <col width="30" customWidth="1" min="2" max="2"/>
    <col width="18" customWidth="1" min="3" max="3"/>
    <col width="16" customWidth="1" min="4" max="5"/>
    <col width="30" customWidth="1" min="6" max="6"/>
  </cols>
  <sheetData>
    <row r="1" ht="25.5" customHeight="1">
      <c r="A1" s="64" t="inlineStr">
        <is>
          <t>RARE / HIGH-COMPLEXITY EVENT LOG (Trust Throwback, Foreign Trust, Other One-Off Events)</t>
        </is>
      </c>
    </row>
    <row r="2" ht="19.5" customHeight="1">
      <c r="A2" s="65" t="inlineStr">
        <is>
          <t>HOW TO USE THIS TAB</t>
        </is>
      </c>
    </row>
    <row r="3" ht="15.75" customHeight="1">
      <c r="A3" s="66" t="inlineStr">
        <is>
          <t>Some events are too fact-specific and history-dependent for a generic spreadsheet formula to safely automate — building a 'one-size-fits-all' calculator for these risks giving a false sense of precision. Use this tab as a structured log and pointer to the specialized off-system workpaper each requires, rather than a calculator.</t>
        </is>
      </c>
    </row>
    <row r="4" ht="25.5" customHeight="1">
      <c r="A4" s="67" t="inlineStr">
        <is>
          <t>TRUST ACCUMULATION 'THROWBACK TAX' (Form 4970, §§665-668): requires the trust's income and the beneficiary's marginal tax rates for EACH of the prior years the income was accumulated (often 5-10+ years of historical 1040s and fiduciary returns). Build a dedicated multi-year workpaper outside this workbook using the Form 4970 instructions' average-rate method, then enter the final computed tax directly as an override under Taxes &gt; Additional Taxes (Form 4970) in Axcess.</t>
        </is>
      </c>
    </row>
    <row r="5" ht="25.5" customHeight="1">
      <c r="A5" s="67" t="inlineStr">
        <is>
          <t>FOREIGN TRUST DISTRIBUTIONS (Form 3520, 'Default Method' interest charge, §668): requires daily compounding interest calculated from each undistributed year to the distribution date, using the historical underpayment rate table. Compute this in a dedicated compounding-interest spreadsheet (not a static formula here, since the applicable rate changes quarterly), then enter the total as an override on the Form 3520 / Miscellaneous Taxes input.</t>
        </is>
      </c>
    </row>
    <row r="6" ht="25.5" customHeight="1">
      <c r="A6" s="67" t="inlineStr">
        <is>
          <t>CATCH-ALL: log any other one-off, fact-intensive event here (e.g., a first-time disaster loss election, a worthless-security abandonment, an unusual state-specific conformity issue) so the firm has a record of the override and where the supporting calculation lives, even if it isn't reproduced in this workbook.</t>
        </is>
      </c>
    </row>
    <row r="7" ht="13.5" customHeight="1">
      <c r="A7" s="68" t="inlineStr">
        <is>
          <t>Source: IRS Instructions for Form 4970 — irs.gov/instructions/i4970</t>
        </is>
      </c>
    </row>
    <row r="8" ht="13.5" customHeight="1">
      <c r="A8" s="68" t="inlineStr">
        <is>
          <t>Source: IRS Instructions for Form 3520 — irs.gov/instructions/i3520</t>
        </is>
      </c>
    </row>
    <row r="10" ht="30" customHeight="1">
      <c r="A10" s="2" t="inlineStr">
        <is>
          <t>Event Type</t>
        </is>
      </c>
      <c r="B10" s="2" t="inlineStr">
        <is>
          <t>Description / Facts</t>
        </is>
      </c>
      <c r="C10" s="2" t="inlineStr">
        <is>
          <t>Supporting Workpaper Location (file path/link)</t>
        </is>
      </c>
      <c r="D10" s="2" t="inlineStr">
        <is>
          <t>Computed Override Amount</t>
        </is>
      </c>
      <c r="E10" s="2" t="inlineStr">
        <is>
          <t>Axcess Input Location</t>
        </is>
      </c>
      <c r="F10" s="2" t="inlineStr">
        <is>
          <t>Prepared By / Date / Reviewer</t>
        </is>
      </c>
    </row>
    <row r="11">
      <c r="A11" s="6" t="inlineStr">
        <is>
          <t>Community-property basis step-up (sec. 1014(b)(6)) - inherited securities</t>
        </is>
      </c>
      <c r="B11" s="6" t="inlineStr">
        <is>
          <t>Eleanor died 08/09/2025 (WA community property agreement). Schwab 1099-B: MSFT 300 sh covered, basis $13,500 (original); VFIAX 400 sh and JNJ 200 sh noncovered, no basis. DOD values: 156,105 / 222,048 / 31,080 = 409,233. Proceeds 420,620 -&gt; LTCG 11,387 (vs 347,120 on 1099-B basis).</t>
        </is>
      </c>
      <c r="C11" s="6" t="inlineStr">
        <is>
          <t>WP 8 (Schwab 1099-B) / WP 9 (Schwab DOD valuation report) / step-up schedule attached to return</t>
        </is>
      </c>
      <c r="D11" s="7" t="n">
        <v>11387</v>
      </c>
      <c r="E11" s="6" t="inlineStr">
        <is>
          <t>Gains and Losses &gt; Form 8949: box D code B adj (142,605) for MSFT; box E basis = DOD FMV; acquired INHERITED</t>
        </is>
      </c>
      <c r="F11" s="6" t="inlineStr">
        <is>
          <t>T. Nguyen 04/2026 / reviewed L. Chen</t>
        </is>
      </c>
    </row>
    <row r="12">
      <c r="A12" s="8" t="inlineStr">
        <is>
          <t>Sale of principal residence received partly from decedent (sec. 121, code H)</t>
        </is>
      </c>
      <c r="B12" s="8" t="inlineStr">
        <is>
          <t>Sold 12/12/2025 for 685,000 (1099-S); selling costs 51,773; basis = DOD appraisal 615,000 (both halves stepped up); gain 18,227 fully excluded (MFJ $500,000; owned/used since 1998).</t>
        </is>
      </c>
      <c r="C12" s="8" t="inlineStr">
        <is>
          <t>WP 10 (1099-S) / WP 11 (seller settlement statement) / WP 12 (retrospective appraisal as of 08/09/2025)</t>
        </is>
      </c>
      <c r="D12" s="9" t="n">
        <v>-18227</v>
      </c>
      <c r="E12" s="8" t="inlineStr">
        <is>
          <t>Sale of principal residence input -&gt; Form 8949 box F, code H</t>
        </is>
      </c>
      <c r="F12" s="8" t="inlineStr">
        <is>
          <t>T. Nguyen 04/2026 / reviewed L. Chen</t>
        </is>
      </c>
    </row>
    <row r="13">
      <c r="A13" s="6" t="n"/>
      <c r="B13" s="6" t="n"/>
      <c r="C13" s="6" t="n"/>
      <c r="D13" s="7" t="n"/>
      <c r="E13" s="6" t="n"/>
      <c r="F13" s="6" t="n"/>
    </row>
    <row r="14">
      <c r="A14" s="8" t="n"/>
      <c r="B14" s="8" t="n"/>
      <c r="C14" s="8" t="n"/>
      <c r="D14" s="9" t="n"/>
      <c r="E14" s="8" t="n"/>
      <c r="F14" s="8" t="n"/>
    </row>
    <row r="15">
      <c r="A15" s="6" t="n"/>
      <c r="B15" s="6" t="n"/>
      <c r="C15" s="6" t="n"/>
      <c r="D15" s="7" t="n"/>
      <c r="E15" s="6" t="n"/>
      <c r="F15" s="6" t="n"/>
    </row>
    <row r="16">
      <c r="A16" s="8" t="n"/>
      <c r="B16" s="8" t="n"/>
      <c r="C16" s="8" t="n"/>
      <c r="D16" s="9" t="n"/>
      <c r="E16" s="8" t="n"/>
      <c r="F16" s="8" t="n"/>
    </row>
    <row r="17">
      <c r="A17" s="6" t="n"/>
      <c r="B17" s="6" t="n"/>
      <c r="C17" s="6" t="n"/>
      <c r="D17" s="7" t="n"/>
      <c r="E17" s="6" t="n"/>
      <c r="F17" s="6" t="n"/>
    </row>
    <row r="18">
      <c r="A18" s="8" t="n"/>
      <c r="B18" s="8" t="n"/>
      <c r="C18" s="8" t="n"/>
      <c r="D18" s="9" t="n"/>
      <c r="E18" s="8" t="n"/>
      <c r="F18" s="8" t="n"/>
    </row>
    <row r="19">
      <c r="A19" s="6" t="n"/>
      <c r="B19" s="6" t="n"/>
      <c r="C19" s="6" t="n"/>
      <c r="D19" s="7" t="n"/>
      <c r="E19" s="6" t="n"/>
      <c r="F19" s="6" t="n"/>
    </row>
    <row r="20">
      <c r="A20" s="8" t="n"/>
      <c r="B20" s="8" t="n"/>
      <c r="C20" s="8" t="n"/>
      <c r="D20" s="9" t="n"/>
      <c r="E20" s="8" t="n"/>
      <c r="F20" s="8"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7.xml><?xml version="1.0" encoding="utf-8"?>
<worksheet xmlns="http://schemas.openxmlformats.org/spreadsheetml/2006/main">
  <sheetPr>
    <tabColor rgb="FFFFFF00"/>
    <outlinePr summaryBelow="1" summaryRight="1"/>
    <pageSetUpPr/>
  </sheetPr>
  <dimension ref="A1:J53"/>
  <sheetViews>
    <sheetView topLeftCell="A31" workbookViewId="0">
      <selection activeCell="B47" sqref="B47:J47"/>
    </sheetView>
  </sheetViews>
  <sheetFormatPr baseColWidth="8" defaultRowHeight="14.4"/>
  <cols>
    <col width="30.5546875" customWidth="1" min="1" max="1"/>
    <col width="33.33203125" customWidth="1" min="2" max="2"/>
    <col width="28.6640625" customWidth="1" style="20" min="3" max="3"/>
    <col width="35.21875" customWidth="1" style="20" min="4" max="4"/>
    <col width="17.5546875" customWidth="1" style="20" min="5" max="5"/>
    <col width="38" customWidth="1" style="20" min="6" max="6"/>
    <col width="14.77734375" customWidth="1" style="20" min="7" max="8"/>
    <col width="15.5546875" customWidth="1" style="20" min="9" max="9"/>
    <col width="33.33203125" customWidth="1" min="10" max="10"/>
  </cols>
  <sheetData>
    <row r="1" ht="30" customHeight="1">
      <c r="A1" s="44" t="inlineStr">
        <is>
          <t>AI-NATIVE EXCEPTION REMEDIATION STRATEGY</t>
        </is>
      </c>
    </row>
    <row r="2">
      <c r="A2" s="45" t="inlineStr">
        <is>
          <t>Decision support for the 22 CCH Axcess 1040 exception workflows | Assessment date: 2026-09-29</t>
        </is>
      </c>
    </row>
    <row r="3">
      <c r="A3" s="21" t="n"/>
      <c r="B3" s="21" t="n"/>
      <c r="C3" s="21" t="n"/>
      <c r="D3" s="21" t="n"/>
      <c r="E3" s="21" t="n"/>
      <c r="F3" s="21" t="n"/>
      <c r="G3" s="21" t="n"/>
      <c r="H3" s="21" t="n"/>
      <c r="I3" s="21" t="n"/>
      <c r="J3" s="21" t="n"/>
    </row>
    <row r="4" ht="46.05" customHeight="1">
      <c r="A4" s="46" t="inlineStr">
        <is>
          <t>RECOMMENDATION: Build a thin, API-connected remediation workbench around governed calculation modules; keep reviewer approval before any Axcess override. Start with the existing Excel rules as the specification and system of evidence.</t>
        </is>
      </c>
    </row>
    <row r="5">
      <c r="A5" s="21" t="n"/>
      <c r="B5" s="21" t="n"/>
      <c r="C5" s="21" t="n"/>
      <c r="D5" s="21" t="n"/>
      <c r="E5" s="21" t="n"/>
      <c r="F5" s="21" t="n"/>
      <c r="G5" s="21" t="n"/>
      <c r="H5" s="21" t="n"/>
      <c r="I5" s="21" t="n"/>
      <c r="J5" s="21" t="n"/>
    </row>
    <row r="6" ht="34.05" customHeight="1">
      <c r="A6" s="23" t="inlineStr">
        <is>
          <t>APP FEASIBLE?</t>
        </is>
      </c>
      <c r="B6" s="24" t="inlineStr">
        <is>
          <t>YES — as a workbench</t>
        </is>
      </c>
      <c r="C6" s="23" t="inlineStr">
        <is>
          <t>AUTOMATION MIX</t>
        </is>
      </c>
      <c r="D6" s="24" t="inlineStr">
        <is>
          <t>13 high / 7 hybrid / 2 specialist</t>
        </is>
      </c>
      <c r="E6" s="23" t="inlineStr">
        <is>
          <t>MODELED PERSISTENCE</t>
        </is>
      </c>
      <c r="F6" s="24" t="inlineStr">
        <is>
          <t>80% avg. at 24–36 months</t>
        </is>
      </c>
      <c r="G6" s="21" t="n"/>
      <c r="H6" s="21" t="n"/>
      <c r="I6" s="21" t="n"/>
      <c r="J6" s="21" t="n"/>
    </row>
    <row r="7" ht="34.05" customHeight="1">
      <c r="A7" s="23" t="inlineStr">
        <is>
          <t>Best immediate move</t>
        </is>
      </c>
      <c r="B7" s="24" t="inlineStr">
        <is>
          <t>Governed hybrid automation</t>
        </is>
      </c>
      <c r="C7" s="23" t="inlineStr">
        <is>
          <t>Best long-term target</t>
        </is>
      </c>
      <c r="D7" s="24" t="inlineStr">
        <is>
          <t>Proprietary API workbench</t>
        </is>
      </c>
      <c r="E7" s="23" t="inlineStr">
        <is>
          <t>Confidence</t>
        </is>
      </c>
      <c r="F7" s="24" t="inlineStr">
        <is>
          <t>Medium — no public exception roadmap</t>
        </is>
      </c>
      <c r="G7" s="21" t="n"/>
      <c r="H7" s="21" t="n"/>
      <c r="I7" s="21" t="n"/>
      <c r="J7" s="21" t="n"/>
    </row>
    <row r="8">
      <c r="A8" s="30" t="inlineStr">
        <is>
          <t>Weights →</t>
        </is>
      </c>
      <c r="B8" s="30" t="n"/>
      <c r="C8" s="31" t="n">
        <v>0.2</v>
      </c>
      <c r="D8" s="31" t="n">
        <v>0.15</v>
      </c>
      <c r="E8" s="31" t="n">
        <v>0.1</v>
      </c>
      <c r="F8" s="31" t="n">
        <v>0.2</v>
      </c>
      <c r="G8" s="31" t="n">
        <v>0.15</v>
      </c>
      <c r="H8" s="31" t="n">
        <v>0.2</v>
      </c>
      <c r="I8" s="21" t="n"/>
      <c r="J8" s="21" t="n"/>
    </row>
    <row r="9" ht="31.95" customHeight="1">
      <c r="A9" s="26" t="inlineStr">
        <is>
          <t>Rank</t>
        </is>
      </c>
      <c r="B9" s="25" t="inlineStr">
        <is>
          <t>Workaround</t>
        </is>
      </c>
      <c r="C9" s="26" t="inlineStr">
        <is>
          <t>Feasibility</t>
        </is>
      </c>
      <c r="D9" s="26" t="inlineStr">
        <is>
          <t>Cost efficiency</t>
        </is>
      </c>
      <c r="E9" s="26" t="inlineStr">
        <is>
          <t>Speed to value</t>
        </is>
      </c>
      <c r="F9" s="26" t="inlineStr">
        <is>
          <t>Coverage</t>
        </is>
      </c>
      <c r="G9" s="26" t="inlineStr">
        <is>
          <t>Auditability</t>
        </is>
      </c>
      <c r="H9" s="26" t="inlineStr">
        <is>
          <t>Long-term fit</t>
        </is>
      </c>
      <c r="I9" s="26" t="inlineStr">
        <is>
          <t>Weighted score</t>
        </is>
      </c>
      <c r="J9" s="25" t="inlineStr">
        <is>
          <t>Planning cost / time</t>
        </is>
      </c>
    </row>
    <row r="10" ht="30" customHeight="1">
      <c r="A10" s="34">
        <f>_xlfn.RANK.EQ(I10,$I$10:$I$15,0)</f>
        <v/>
      </c>
      <c r="B10" s="35" t="inlineStr">
        <is>
          <t>Hybrid: Excel rules + AI intake + CCH APIs</t>
        </is>
      </c>
      <c r="C10" s="36" t="n">
        <v>5</v>
      </c>
      <c r="D10" s="36" t="n">
        <v>4</v>
      </c>
      <c r="E10" s="36" t="n">
        <v>5</v>
      </c>
      <c r="F10" s="36" t="n">
        <v>4</v>
      </c>
      <c r="G10" s="36" t="n">
        <v>5</v>
      </c>
      <c r="H10" s="36" t="n">
        <v>5</v>
      </c>
      <c r="I10" s="37">
        <f>SUMPRODUCT(C10:H10,$C$8:$H$8)</f>
        <v/>
      </c>
      <c r="J10" s="35" t="inlineStr">
        <is>
          <t>$25k–$90k; 6–12 weeks</t>
        </is>
      </c>
    </row>
    <row r="11" ht="30" customHeight="1">
      <c r="A11" s="33">
        <f>_xlfn.RANK.EQ(I11,$I$10:$I$15,0)</f>
        <v/>
      </c>
      <c r="B11" s="43" t="inlineStr">
        <is>
          <t>Proprietary API remediation workbench</t>
        </is>
      </c>
      <c r="C11" s="22" t="n">
        <v>4</v>
      </c>
      <c r="D11" s="22" t="n">
        <v>2</v>
      </c>
      <c r="E11" s="22" t="n">
        <v>3</v>
      </c>
      <c r="F11" s="22" t="n">
        <v>5</v>
      </c>
      <c r="G11" s="22" t="n">
        <v>5</v>
      </c>
      <c r="H11" s="22" t="n">
        <v>5</v>
      </c>
      <c r="I11" s="27">
        <f>SUMPRODUCT(C11:H11,$C$8:$H$8)</f>
        <v/>
      </c>
      <c r="J11" s="43" t="inlineStr">
        <is>
          <t>$175k–$450k MVP; 6–12 months</t>
        </is>
      </c>
    </row>
    <row r="12" ht="30" customHeight="1">
      <c r="A12" s="34">
        <f>_xlfn.RANK.EQ(I12,$I$10:$I$15,0)</f>
        <v/>
      </c>
      <c r="B12" s="35" t="inlineStr">
        <is>
          <t>Low-code/API workflow orchestration</t>
        </is>
      </c>
      <c r="C12" s="36" t="n">
        <v>4</v>
      </c>
      <c r="D12" s="36" t="n">
        <v>3</v>
      </c>
      <c r="E12" s="36" t="n">
        <v>4</v>
      </c>
      <c r="F12" s="36" t="n">
        <v>3</v>
      </c>
      <c r="G12" s="36" t="n">
        <v>4</v>
      </c>
      <c r="H12" s="36" t="n">
        <v>4</v>
      </c>
      <c r="I12" s="37">
        <f>SUMPRODUCT(C12:H12,$C$8:$H$8)</f>
        <v/>
      </c>
      <c r="J12" s="35" t="inlineStr">
        <is>
          <t>$40k–$140k; 2–4 months</t>
        </is>
      </c>
    </row>
    <row r="13" ht="30" customHeight="1">
      <c r="A13" s="33">
        <f>_xlfn.RANK.EQ(I13,$I$10:$I$15,0)</f>
        <v/>
      </c>
      <c r="B13" s="43" t="inlineStr">
        <is>
          <t>Point solutions + normalized imports</t>
        </is>
      </c>
      <c r="C13" s="22" t="n">
        <v>4</v>
      </c>
      <c r="D13" s="22" t="n">
        <v>3</v>
      </c>
      <c r="E13" s="22" t="n">
        <v>4</v>
      </c>
      <c r="F13" s="22" t="n">
        <v>3</v>
      </c>
      <c r="G13" s="22" t="n">
        <v>3</v>
      </c>
      <c r="H13" s="22" t="n">
        <v>3</v>
      </c>
      <c r="I13" s="27">
        <f>SUMPRODUCT(C13:H13,$C$8:$H$8)</f>
        <v/>
      </c>
      <c r="J13" s="43" t="inlineStr">
        <is>
          <t>$25k–$125k/yr; 1–3 months</t>
        </is>
      </c>
    </row>
    <row r="14" ht="30" customHeight="1">
      <c r="A14" s="34">
        <f>_xlfn.RANK.EQ(I14,$I$10:$I$15,0)</f>
        <v/>
      </c>
      <c r="B14" s="35" t="inlineStr">
        <is>
          <t>RPA around the Axcess user interface</t>
        </is>
      </c>
      <c r="C14" s="36" t="n">
        <v>3</v>
      </c>
      <c r="D14" s="36" t="n">
        <v>3</v>
      </c>
      <c r="E14" s="36" t="n">
        <v>4</v>
      </c>
      <c r="F14" s="36" t="n">
        <v>3</v>
      </c>
      <c r="G14" s="36" t="n">
        <v>2</v>
      </c>
      <c r="H14" s="36" t="n">
        <v>2</v>
      </c>
      <c r="I14" s="37">
        <f>SUMPRODUCT(C14:H14,$C$8:$H$8)</f>
        <v/>
      </c>
      <c r="J14" s="35" t="inlineStr">
        <is>
          <t>$50k–$175k; 3–6 months</t>
        </is>
      </c>
    </row>
    <row r="15" ht="30" customHeight="1">
      <c r="A15" s="33">
        <f>_xlfn.RANK.EQ(I15,$I$10:$I$15,0)</f>
        <v/>
      </c>
      <c r="B15" s="43" t="inlineStr">
        <is>
          <t>Wait for native CCH fixes</t>
        </is>
      </c>
      <c r="C15" s="22" t="n">
        <v>5</v>
      </c>
      <c r="D15" s="22" t="n">
        <v>5</v>
      </c>
      <c r="E15" s="22" t="n">
        <v>1</v>
      </c>
      <c r="F15" s="22" t="n">
        <v>1</v>
      </c>
      <c r="G15" s="22" t="n">
        <v>2</v>
      </c>
      <c r="H15" s="22" t="n">
        <v>1</v>
      </c>
      <c r="I15" s="27">
        <f>SUMPRODUCT(C15:H15,$C$8:$H$8)</f>
        <v/>
      </c>
      <c r="J15" s="43" t="inlineStr">
        <is>
          <t>$0 dev; timing and scope unknown</t>
        </is>
      </c>
    </row>
    <row r="16">
      <c r="A16" s="21" t="n"/>
      <c r="B16" s="21" t="n"/>
      <c r="C16" s="21" t="n"/>
      <c r="D16" s="21" t="n"/>
      <c r="E16" s="21" t="n"/>
      <c r="F16" s="21" t="n"/>
      <c r="G16" s="21" t="n"/>
      <c r="H16" s="21" t="n"/>
      <c r="I16" s="21" t="n"/>
      <c r="J16" s="21" t="n"/>
    </row>
    <row r="17" ht="24" customHeight="1">
      <c r="A17" s="47" t="inlineStr">
        <is>
          <t>WORKFLOW-BY-WORKFLOW AUTOMATION MAP</t>
        </is>
      </c>
      <c r="G17" s="21" t="n"/>
      <c r="H17" s="21" t="n"/>
      <c r="I17" s="21" t="n"/>
      <c r="J17" s="21" t="n"/>
    </row>
    <row r="18" ht="31.95" customHeight="1">
      <c r="A18" s="25" t="inlineStr">
        <is>
          <t>Workbook workflow</t>
        </is>
      </c>
      <c r="B18" s="25" t="inlineStr">
        <is>
          <t>Posture</t>
        </is>
      </c>
      <c r="C18" s="25" t="inlineStr">
        <is>
          <t>Best app role</t>
        </is>
      </c>
      <c r="D18" s="25" t="inlineStr">
        <is>
          <t>Human control point</t>
        </is>
      </c>
      <c r="E18" s="25" t="inlineStr">
        <is>
          <t>Persistence likelihood</t>
        </is>
      </c>
      <c r="F18" s="25" t="inlineStr">
        <is>
          <t>Why the need likely remains</t>
        </is>
      </c>
      <c r="G18" s="21" t="n"/>
      <c r="H18" s="21" t="n"/>
      <c r="I18" s="21" t="n"/>
      <c r="J18" s="21" t="n"/>
    </row>
    <row r="19" ht="42" customHeight="1">
      <c r="A19" s="35" t="inlineStr">
        <is>
          <t>3. K-1 Basis Limitation</t>
        </is>
      </c>
      <c r="B19" s="35" t="inlineStr">
        <is>
          <t>High automation</t>
        </is>
      </c>
      <c r="C19" s="35" t="inlineStr">
        <is>
          <t>Rules engine + prior-year rollforward</t>
        </is>
      </c>
      <c r="D19" s="35" t="inlineStr">
        <is>
          <t>Approve K-1 classification / overrides</t>
        </is>
      </c>
      <c r="E19" s="38" t="n">
        <v>0.7</v>
      </c>
      <c r="F19" s="35" t="inlineStr">
        <is>
          <t>Deterministic math, but depends on complete basis inputs</t>
        </is>
      </c>
      <c r="G19" s="21" t="n"/>
      <c r="H19" s="21" t="n"/>
      <c r="I19" s="21" t="n"/>
      <c r="J19" s="21" t="n"/>
    </row>
    <row r="20" ht="42" customHeight="1">
      <c r="A20" s="43" t="inlineStr">
        <is>
          <t>4. At-Risk (Form 6198)</t>
        </is>
      </c>
      <c r="B20" s="43" t="inlineStr">
        <is>
          <t>High automation</t>
        </is>
      </c>
      <c r="C20" s="43" t="inlineStr">
        <is>
          <t>Rules engine + evidence checklist</t>
        </is>
      </c>
      <c r="D20" s="43" t="inlineStr">
        <is>
          <t>Confirm recourse / qualified nonrecourse facts</t>
        </is>
      </c>
      <c r="E20" s="29" t="n">
        <v>0.75</v>
      </c>
      <c r="F20" s="43" t="inlineStr">
        <is>
          <t>Liability character is taxpayer-specific</t>
        </is>
      </c>
      <c r="G20" s="21" t="n"/>
      <c r="H20" s="21" t="n"/>
      <c r="I20" s="21" t="n"/>
      <c r="J20" s="21" t="n"/>
    </row>
    <row r="21" ht="42" customHeight="1">
      <c r="A21" s="35" t="inlineStr">
        <is>
          <t>5. Passive Activity (8582)</t>
        </is>
      </c>
      <c r="B21" s="35" t="inlineStr">
        <is>
          <t>High automation</t>
        </is>
      </c>
      <c r="C21" s="35" t="inlineStr">
        <is>
          <t>Rules engine + activity grouping</t>
        </is>
      </c>
      <c r="D21" s="35" t="inlineStr">
        <is>
          <t>Approve grouping and participation status</t>
        </is>
      </c>
      <c r="E21" s="38" t="n">
        <v>0.7</v>
      </c>
      <c r="F21" s="35" t="inlineStr">
        <is>
          <t>Grouping and participation remain judgmental</t>
        </is>
      </c>
      <c r="G21" s="21" t="n"/>
      <c r="H21" s="21" t="n"/>
      <c r="I21" s="21" t="n"/>
      <c r="J21" s="21" t="n"/>
    </row>
    <row r="22" ht="42" customHeight="1">
      <c r="A22" s="43" t="inlineStr">
        <is>
          <t>6. Depreciation Overrides</t>
        </is>
      </c>
      <c r="B22" s="43" t="inlineStr">
        <is>
          <t>High automation</t>
        </is>
      </c>
      <c r="C22" s="43" t="inlineStr">
        <is>
          <t>Federal/state rule tables + calc</t>
        </is>
      </c>
      <c r="D22" s="43" t="inlineStr">
        <is>
          <t>Validate jurisdiction and asset class</t>
        </is>
      </c>
      <c r="E22" s="29" t="n">
        <v>0.65</v>
      </c>
      <c r="F22" s="43" t="inlineStr">
        <is>
          <t>Conformity differences recur as laws change</t>
        </is>
      </c>
      <c r="G22" s="21" t="n"/>
      <c r="H22" s="21" t="n"/>
      <c r="I22" s="21" t="n"/>
      <c r="J22" s="21" t="n"/>
    </row>
    <row r="23" ht="42" customHeight="1">
      <c r="A23" s="35" t="inlineStr">
        <is>
          <t>7. Multi-State Allocation</t>
        </is>
      </c>
      <c r="B23" s="35" t="inlineStr">
        <is>
          <t>High automation</t>
        </is>
      </c>
      <c r="C23" s="35" t="inlineStr">
        <is>
          <t>Allocation engine + state data import</t>
        </is>
      </c>
      <c r="D23" s="35" t="inlineStr">
        <is>
          <t>Approve sourcing positions</t>
        </is>
      </c>
      <c r="E23" s="38" t="n">
        <v>0.75</v>
      </c>
      <c r="F23" s="35" t="inlineStr">
        <is>
          <t>State sourcing and attachments remain fragmented</t>
        </is>
      </c>
      <c r="G23" s="21" t="n"/>
      <c r="H23" s="21" t="n"/>
      <c r="I23" s="21" t="n"/>
      <c r="J23" s="21" t="n"/>
    </row>
    <row r="24" ht="42" customHeight="1">
      <c r="A24" s="43" t="inlineStr">
        <is>
          <t>8. Est. Tax Penalty (2210)</t>
        </is>
      </c>
      <c r="B24" s="43" t="inlineStr">
        <is>
          <t>High automation</t>
        </is>
      </c>
      <c r="C24" s="43" t="inlineStr">
        <is>
          <t>Safe-harbor / installment calculator</t>
        </is>
      </c>
      <c r="D24" s="43" t="inlineStr">
        <is>
          <t>Approve waiver and annualization inputs</t>
        </is>
      </c>
      <c r="E24" s="29" t="n">
        <v>0.55</v>
      </c>
      <c r="F24" s="43" t="inlineStr">
        <is>
          <t>CCH may improve forms, but fact timing persists</t>
        </is>
      </c>
      <c r="G24" s="21" t="n"/>
      <c r="H24" s="21" t="n"/>
      <c r="I24" s="21" t="n"/>
      <c r="J24" s="21" t="n"/>
    </row>
    <row r="25" ht="42" customHeight="1">
      <c r="A25" s="35" t="inlineStr">
        <is>
          <t>9. AMT Adjustments (6251)</t>
        </is>
      </c>
      <c r="B25" s="35" t="inlineStr">
        <is>
          <t>High automation</t>
        </is>
      </c>
      <c r="C25" s="35" t="inlineStr">
        <is>
          <t>Parallel regular/AMT calculation</t>
        </is>
      </c>
      <c r="D25" s="35" t="inlineStr">
        <is>
          <t>Review activity linkage</t>
        </is>
      </c>
      <c r="E25" s="38" t="n">
        <v>0.7</v>
      </c>
      <c r="F25" s="35" t="inlineStr">
        <is>
          <t>Depends on upstream basis and depreciation facts</t>
        </is>
      </c>
      <c r="G25" s="21" t="n"/>
      <c r="H25" s="21" t="n"/>
      <c r="I25" s="21" t="n"/>
      <c r="J25" s="21" t="n"/>
    </row>
    <row r="26" ht="42" customHeight="1">
      <c r="A26" s="43" t="inlineStr">
        <is>
          <t>10. Capital Loss Carryover</t>
        </is>
      </c>
      <c r="B26" s="43" t="inlineStr">
        <is>
          <t>High automation</t>
        </is>
      </c>
      <c r="C26" s="43" t="inlineStr">
        <is>
          <t>Prior-return extraction + reconciliation</t>
        </is>
      </c>
      <c r="D26" s="43" t="inlineStr">
        <is>
          <t>Confirm amended-return changes</t>
        </is>
      </c>
      <c r="E26" s="29" t="n">
        <v>0.55</v>
      </c>
      <c r="F26" s="43" t="inlineStr">
        <is>
          <t>Proforma helps, but first-year clients remain</t>
        </is>
      </c>
      <c r="G26" s="21" t="n"/>
      <c r="H26" s="21" t="n"/>
      <c r="I26" s="21" t="n"/>
      <c r="J26" s="21" t="n"/>
    </row>
    <row r="27" ht="42" customHeight="1">
      <c r="A27" s="35" t="inlineStr">
        <is>
          <t>11. Hot Assets &amp; Mixing Bowl</t>
        </is>
      </c>
      <c r="B27" s="35" t="inlineStr">
        <is>
          <t>Hybrid</t>
        </is>
      </c>
      <c r="C27" s="35" t="inlineStr">
        <is>
          <t>Issue spotting + event timeline</t>
        </is>
      </c>
      <c r="D27" s="35" t="inlineStr">
        <is>
          <t>Tax specialist determines character</t>
        </is>
      </c>
      <c r="E27" s="38" t="n">
        <v>0.95</v>
      </c>
      <c r="F27" s="35" t="inlineStr">
        <is>
          <t>Multi-year partnership facts are not on one K-1</t>
        </is>
      </c>
      <c r="G27" s="21" t="n"/>
      <c r="H27" s="21" t="n"/>
      <c r="I27" s="21" t="n"/>
      <c r="J27" s="21" t="n"/>
    </row>
    <row r="28" ht="42" customHeight="1">
      <c r="A28" s="43" t="inlineStr">
        <is>
          <t>12. S-Corp Dual Basis</t>
        </is>
      </c>
      <c r="B28" s="43" t="inlineStr">
        <is>
          <t>High automation</t>
        </is>
      </c>
      <c r="C28" s="43" t="inlineStr">
        <is>
          <t>Separate stock/debt ledgers</t>
        </is>
      </c>
      <c r="D28" s="43" t="inlineStr">
        <is>
          <t>Review debt instruments and ordering</t>
        </is>
      </c>
      <c r="E28" s="29" t="n">
        <v>0.75</v>
      </c>
      <c r="F28" s="43" t="inlineStr">
        <is>
          <t>Separate-basis records remain necessary</t>
        </is>
      </c>
      <c r="G28" s="21" t="n"/>
      <c r="H28" s="21" t="n"/>
      <c r="I28" s="21" t="n"/>
      <c r="J28" s="21" t="n"/>
    </row>
    <row r="29" ht="42" customHeight="1">
      <c r="A29" s="35" t="inlineStr">
        <is>
          <t>13. Trust Termination PAL</t>
        </is>
      </c>
      <c r="B29" s="35" t="inlineStr">
        <is>
          <t>Hybrid</t>
        </is>
      </c>
      <c r="C29" s="35" t="inlineStr">
        <is>
          <t>K-1 footnote extraction + basis step-up</t>
        </is>
      </c>
      <c r="D29" s="35" t="inlineStr">
        <is>
          <t>Trust specialist confirms asset linkage</t>
        </is>
      </c>
      <c r="E29" s="38" t="n">
        <v>0.9</v>
      </c>
      <c r="F29" s="35" t="inlineStr">
        <is>
          <t>Critical facts live in unstructured footnotes</t>
        </is>
      </c>
      <c r="G29" s="21" t="n"/>
      <c r="H29" s="21" t="n"/>
      <c r="I29" s="21" t="n"/>
      <c r="J29" s="21" t="n"/>
    </row>
    <row r="30" ht="42" customHeight="1">
      <c r="A30" s="43" t="inlineStr">
        <is>
          <t>14. Bond Interest &amp; Premium</t>
        </is>
      </c>
      <c r="B30" s="43" t="inlineStr">
        <is>
          <t>High automation</t>
        </is>
      </c>
      <c r="C30" s="43" t="inlineStr">
        <is>
          <t>Trade import + yield schedule</t>
        </is>
      </c>
      <c r="D30" s="43" t="inlineStr">
        <is>
          <t>Review bond tax status / elections</t>
        </is>
      </c>
      <c r="E30" s="29" t="n">
        <v>0.8</v>
      </c>
      <c r="F30" s="43" t="inlineStr">
        <is>
          <t>Broker reporting is often incomplete</t>
        </is>
      </c>
      <c r="G30" s="21" t="n"/>
      <c r="H30" s="21" t="n"/>
      <c r="I30" s="21" t="n"/>
      <c r="J30" s="21" t="n"/>
    </row>
    <row r="31" ht="42" customHeight="1">
      <c r="A31" s="35" t="inlineStr">
        <is>
          <t>15. Mortgage Interest Limit</t>
        </is>
      </c>
      <c r="B31" s="35" t="inlineStr">
        <is>
          <t>High automation</t>
        </is>
      </c>
      <c r="C31" s="35" t="inlineStr">
        <is>
          <t>Debt aggregation + limitation calc</t>
        </is>
      </c>
      <c r="D31" s="35" t="inlineStr">
        <is>
          <t>Confirm acquisition debt and grandfathering</t>
        </is>
      </c>
      <c r="E31" s="38" t="n">
        <v>0.75</v>
      </c>
      <c r="F31" s="35" t="inlineStr">
        <is>
          <t>1098 data alone cannot establish use of proceeds</t>
        </is>
      </c>
      <c r="G31" s="21" t="n"/>
      <c r="H31" s="21" t="n"/>
      <c r="I31" s="21" t="n"/>
      <c r="J31" s="21" t="n"/>
    </row>
    <row r="32" ht="42" customHeight="1">
      <c r="A32" s="43" t="inlineStr">
        <is>
          <t>16. Vacation Home Allocation</t>
        </is>
      </c>
      <c r="B32" s="43" t="inlineStr">
        <is>
          <t>Hybrid</t>
        </is>
      </c>
      <c r="C32" s="43" t="inlineStr">
        <is>
          <t>Calendar ingest + method comparison</t>
        </is>
      </c>
      <c r="D32" s="43" t="inlineStr">
        <is>
          <t>Approve legal method and personal-use days</t>
        </is>
      </c>
      <c r="E32" s="29" t="n">
        <v>0.85</v>
      </c>
      <c r="F32" s="43" t="inlineStr">
        <is>
          <t>Calendar facts and method choice remain external</t>
        </is>
      </c>
      <c r="G32" s="21" t="n"/>
      <c r="H32" s="21" t="n"/>
      <c r="I32" s="21" t="n"/>
      <c r="J32" s="21" t="n"/>
    </row>
    <row r="33" ht="42" customHeight="1">
      <c r="A33" s="35" t="inlineStr">
        <is>
          <t>17. Equity Comp &amp; Wash Sales</t>
        </is>
      </c>
      <c r="B33" s="35" t="inlineStr">
        <is>
          <t>Hybrid</t>
        </is>
      </c>
      <c r="C33" s="35" t="inlineStr">
        <is>
          <t>Lot matching across accounts</t>
        </is>
      </c>
      <c r="D33" s="35" t="inlineStr">
        <is>
          <t>Approve substantially-identical analysis</t>
        </is>
      </c>
      <c r="E33" s="38" t="n">
        <v>0.9</v>
      </c>
      <c r="F33" s="35" t="inlineStr">
        <is>
          <t>No single broker sees all related accounts</t>
        </is>
      </c>
      <c r="G33" s="21" t="n"/>
      <c r="H33" s="21" t="n"/>
      <c r="I33" s="21" t="n"/>
      <c r="J33" s="21" t="n"/>
    </row>
    <row r="34" ht="42" customHeight="1">
      <c r="A34" s="43" t="inlineStr">
        <is>
          <t>18. NUA &amp; IRD Deduction</t>
        </is>
      </c>
      <c r="B34" s="43" t="inlineStr">
        <is>
          <t>Hybrid</t>
        </is>
      </c>
      <c r="C34" s="43" t="inlineStr">
        <is>
          <t>Document extraction + scenario calc</t>
        </is>
      </c>
      <c r="D34" s="43" t="inlineStr">
        <is>
          <t>Specialist validates election / estate-tax link</t>
        </is>
      </c>
      <c r="E34" s="29" t="n">
        <v>0.9</v>
      </c>
      <c r="F34" s="43" t="inlineStr">
        <is>
          <t>Rare elections require fact-specific judgment</t>
        </is>
      </c>
      <c r="G34" s="21" t="n"/>
      <c r="H34" s="21" t="n"/>
      <c r="I34" s="21" t="n"/>
      <c r="J34" s="21" t="n"/>
    </row>
    <row r="35" ht="42" customFormat="1" customHeight="1" s="42">
      <c r="A35" s="39" t="inlineStr">
        <is>
          <t>19. Crypto Income &amp; Basis</t>
        </is>
      </c>
      <c r="B35" s="39" t="inlineStr">
        <is>
          <t>High automation</t>
        </is>
      </c>
      <c r="C35" s="39" t="inlineStr">
        <is>
          <t>Wallet/exchange ledger + tax lots</t>
        </is>
      </c>
      <c r="D35" s="39" t="inlineStr">
        <is>
          <t>Review missing wallets and character</t>
        </is>
      </c>
      <c r="E35" s="40" t="n">
        <v>0.9</v>
      </c>
      <c r="F35" s="39" t="inlineStr">
        <is>
          <t>Axcess lacks a native complete blockchain ledger</t>
        </is>
      </c>
      <c r="G35" s="41" t="n"/>
      <c r="H35" s="41" t="n"/>
      <c r="I35" s="41" t="n"/>
      <c r="J35" s="41" t="n"/>
    </row>
    <row r="36" ht="42" customHeight="1">
      <c r="A36" s="43" t="inlineStr">
        <is>
          <t>20. Insolvency (Form 982)</t>
        </is>
      </c>
      <c r="B36" s="43" t="inlineStr">
        <is>
          <t>Hybrid</t>
        </is>
      </c>
      <c r="C36" s="43" t="inlineStr">
        <is>
          <t>Balance-sheet intake + exclusion calc</t>
        </is>
      </c>
      <c r="D36" s="43" t="inlineStr">
        <is>
          <t>Approve valuation and timing</t>
        </is>
      </c>
      <c r="E36" s="29" t="n">
        <v>0.9</v>
      </c>
      <c r="F36" s="43" t="inlineStr">
        <is>
          <t>Solvency requires off-return FMV evidence</t>
        </is>
      </c>
      <c r="G36" s="21" t="n"/>
      <c r="H36" s="21" t="n"/>
      <c r="I36" s="21" t="n"/>
      <c r="J36" s="21" t="n"/>
    </row>
    <row r="37" ht="42" customHeight="1">
      <c r="A37" s="35" t="inlineStr">
        <is>
          <t>21. Involuntary Conv. 1033</t>
        </is>
      </c>
      <c r="B37" s="35" t="inlineStr">
        <is>
          <t>Hybrid</t>
        </is>
      </c>
      <c r="C37" s="35" t="inlineStr">
        <is>
          <t>Deadline tracker + replacement ledger</t>
        </is>
      </c>
      <c r="D37" s="35" t="inlineStr">
        <is>
          <t>Approve qualification and tracing</t>
        </is>
      </c>
      <c r="E37" s="38" t="n">
        <v>0.85</v>
      </c>
      <c r="F37" s="35" t="inlineStr">
        <is>
          <t>Multi-year replacement facts remain external</t>
        </is>
      </c>
      <c r="G37" s="21" t="n"/>
      <c r="H37" s="21" t="n"/>
      <c r="I37" s="21" t="n"/>
      <c r="J37" s="21" t="n"/>
    </row>
    <row r="38" ht="42" customHeight="1">
      <c r="A38" s="43" t="inlineStr">
        <is>
          <t>22. Reorg, Liquidation, 1244</t>
        </is>
      </c>
      <c r="B38" s="43" t="inlineStr">
        <is>
          <t>Specialist-led</t>
        </is>
      </c>
      <c r="C38" s="43" t="inlineStr">
        <is>
          <t>Document triage + scenario workpaper</t>
        </is>
      </c>
      <c r="D38" s="43" t="inlineStr">
        <is>
          <t>Tax specialist owns conclusion</t>
        </is>
      </c>
      <c r="E38" s="29" t="n">
        <v>0.95</v>
      </c>
      <c r="F38" s="43" t="inlineStr">
        <is>
          <t>Legal form and basis history dominate the answer</t>
        </is>
      </c>
      <c r="G38" s="21" t="n"/>
      <c r="H38" s="21" t="n"/>
      <c r="I38" s="21" t="n"/>
      <c r="J38" s="21" t="n"/>
    </row>
    <row r="39" ht="42" customHeight="1">
      <c r="A39" s="35" t="inlineStr">
        <is>
          <t>23. Multi-State W-2 Days</t>
        </is>
      </c>
      <c r="B39" s="35" t="inlineStr">
        <is>
          <t>High automation</t>
        </is>
      </c>
      <c r="C39" s="35" t="inlineStr">
        <is>
          <t>Calendar/workday allocation engine</t>
        </is>
      </c>
      <c r="D39" s="35" t="inlineStr">
        <is>
          <t>Approve state day rules and exceptions</t>
        </is>
      </c>
      <c r="E39" s="38" t="n">
        <v>0.8</v>
      </c>
      <c r="F39" s="35" t="inlineStr">
        <is>
          <t>Travel facts and state rules remain external</t>
        </is>
      </c>
      <c r="G39" s="21" t="n"/>
      <c r="H39" s="21" t="n"/>
      <c r="I39" s="21" t="n"/>
      <c r="J39" s="21" t="n"/>
    </row>
    <row r="40" ht="42" customHeight="1">
      <c r="A40" s="43" t="inlineStr">
        <is>
          <t>24. Rare-Event Log</t>
        </is>
      </c>
      <c r="B40" s="43" t="inlineStr">
        <is>
          <t>Specialist-led</t>
        </is>
      </c>
      <c r="C40" s="43" t="inlineStr">
        <is>
          <t>Routing, evidence pack, audit trail</t>
        </is>
      </c>
      <c r="D40" s="43" t="inlineStr">
        <is>
          <t>Named specialist signs conclusion</t>
        </is>
      </c>
      <c r="E40" s="29" t="n">
        <v>0.95</v>
      </c>
      <c r="F40" s="43" t="inlineStr">
        <is>
          <t>By definition not suitable for generic automation</t>
        </is>
      </c>
      <c r="G40" s="21" t="n"/>
      <c r="H40" s="21" t="n"/>
      <c r="I40" s="21" t="n"/>
      <c r="J40" s="21" t="n"/>
    </row>
    <row r="41">
      <c r="A41" s="21" t="n"/>
      <c r="B41" s="21" t="n"/>
      <c r="C41" s="21" t="n"/>
      <c r="D41" s="21" t="n"/>
      <c r="E41" s="21" t="n"/>
      <c r="F41" s="21" t="n"/>
      <c r="G41" s="21" t="n"/>
      <c r="H41" s="21" t="n"/>
      <c r="I41" s="21" t="n"/>
      <c r="J41" s="21" t="n"/>
    </row>
    <row r="42" ht="24" customHeight="1">
      <c r="A42" s="47" t="inlineStr">
        <is>
          <t>INTERPRETATION &amp; BUILD BOUNDARIES</t>
        </is>
      </c>
      <c r="G42" s="21" t="n"/>
      <c r="H42" s="21" t="n"/>
      <c r="I42" s="21" t="n"/>
      <c r="J42" s="21" t="n"/>
    </row>
    <row r="43" ht="37.95" customHeight="1">
      <c r="A43" s="32" t="n">
        <v>1</v>
      </c>
      <c r="B43" s="43" t="inlineStr">
        <is>
          <t>The 80% figure is a planning model: average likelihood that the underlying manual-workpaper need persists for 24–36 months. It is not a vendor forecast.</t>
        </is>
      </c>
    </row>
    <row r="44" ht="37.95" customHeight="1">
      <c r="A44" s="32" t="n">
        <v>2</v>
      </c>
      <c r="B44" s="43" t="inlineStr">
        <is>
          <t>CCH publicly describes Expert AI across intake, scan, intelligence, workflow, advisor, and audit; it does not publish a commitment to eliminate these 22 return-specific workpapers.</t>
        </is>
      </c>
    </row>
    <row r="45" ht="37.95" customHeight="1">
      <c r="A45" s="32" t="n">
        <v>3</v>
      </c>
      <c r="B45" s="43" t="inlineStr">
        <is>
          <t>CCH Tax and Advanced Tax APIs support return lifecycle, import/export, calculation, status, printing, e-file, and notes. Confirm field-level write access for each intended override before an MVP.</t>
        </is>
      </c>
    </row>
    <row r="46" ht="37.95" customHeight="1">
      <c r="A46" s="32" t="n">
        <v>4</v>
      </c>
      <c r="B46" s="43" t="inlineStr">
        <is>
          <t>Do not automate final tax judgments. Require source evidence, versioned rules, preparer sign-off, reviewer sign-off, and a return-calculation/diagnostic recheck.</t>
        </is>
      </c>
    </row>
    <row r="47" ht="37.95" customHeight="1">
      <c r="A47" s="32" t="n">
        <v>5</v>
      </c>
      <c r="B47" s="43" t="inlineStr">
        <is>
          <t>Sequence: automate the 13 high-automation modules first; add seven hybrid workflows as guided cases; leave two specialist-led areas as triage and documentation only.</t>
        </is>
      </c>
    </row>
    <row r="48">
      <c r="A48" s="21" t="n"/>
      <c r="B48" s="21" t="n"/>
      <c r="C48" s="21" t="n"/>
      <c r="D48" s="21" t="n"/>
      <c r="E48" s="21" t="n"/>
      <c r="F48" s="21" t="n"/>
      <c r="G48" s="21" t="n"/>
      <c r="H48" s="21" t="n"/>
      <c r="I48" s="21" t="n"/>
      <c r="J48" s="21" t="n"/>
    </row>
    <row r="49" ht="31.95" customHeight="1">
      <c r="A49" s="25" t="inlineStr">
        <is>
          <t>Source</t>
        </is>
      </c>
      <c r="B49" s="25" t="inlineStr">
        <is>
          <t>Relevance</t>
        </is>
      </c>
      <c r="C49" s="25" t="inlineStr">
        <is>
          <t>URL</t>
        </is>
      </c>
      <c r="D49" s="21" t="n"/>
      <c r="E49" s="21" t="n"/>
      <c r="F49" s="21" t="n"/>
      <c r="G49" s="21" t="n"/>
      <c r="H49" s="21" t="n"/>
      <c r="I49" s="21" t="n"/>
      <c r="J49" s="21" t="n"/>
    </row>
    <row r="50" ht="36" customHeight="1">
      <c r="A50" s="43" t="inlineStr">
        <is>
          <t>Wolters Kluwer — CCH Axcess Expert AI</t>
        </is>
      </c>
      <c r="B50" s="43" t="inlineStr">
        <is>
          <t>Current public scope and positioning</t>
        </is>
      </c>
      <c r="C50" s="43" t="inlineStr">
        <is>
          <t>https://www.wolterskluwer.com/en/solutions/cch-axcess/expert-ai</t>
        </is>
      </c>
      <c r="D50" s="21" t="n"/>
      <c r="E50" s="21" t="n"/>
      <c r="F50" s="21" t="n"/>
      <c r="G50" s="21" t="n"/>
      <c r="H50" s="21" t="n"/>
      <c r="I50" s="21" t="n"/>
      <c r="J50" s="21" t="n"/>
    </row>
    <row r="51" ht="36" customHeight="1">
      <c r="A51" s="43" t="inlineStr">
        <is>
          <t>Wolters Kluwer — Open Integration APIs</t>
        </is>
      </c>
      <c r="B51" s="43" t="inlineStr">
        <is>
          <t>Official API kits, use cases and custom apps</t>
        </is>
      </c>
      <c r="C51" s="43" t="inlineStr">
        <is>
          <t>https://www.wolterskluwer.com/en/solutions/cch-axcess/open-integration</t>
        </is>
      </c>
      <c r="D51" s="21" t="n"/>
      <c r="E51" s="21" t="n"/>
      <c r="F51" s="21" t="n"/>
      <c r="G51" s="21" t="n"/>
      <c r="H51" s="21" t="n"/>
      <c r="I51" s="21" t="n"/>
      <c r="J51" s="21" t="n"/>
    </row>
    <row r="52" ht="36" customHeight="1">
      <c r="A52" s="43" t="inlineStr">
        <is>
          <t>Wolters Kluwer — Developer Portal</t>
        </is>
      </c>
      <c r="B52" s="43" t="inlineStr">
        <is>
          <t>API documentation and testing access</t>
        </is>
      </c>
      <c r="C52" s="43" t="inlineStr">
        <is>
          <t>https://developers.cchaxcess.com/</t>
        </is>
      </c>
      <c r="D52" s="21" t="n"/>
      <c r="E52" s="21" t="n"/>
      <c r="F52" s="21" t="n"/>
      <c r="G52" s="21" t="n"/>
      <c r="H52" s="21" t="n"/>
      <c r="I52" s="21" t="n"/>
      <c r="J52" s="21" t="n"/>
    </row>
    <row r="53" ht="36" customHeight="1">
      <c r="A53" s="43" t="inlineStr">
        <is>
          <t>CCH Axcess Tax Release Notes archive</t>
        </is>
      </c>
      <c r="B53" s="43" t="inlineStr">
        <is>
          <t>Form, regulatory and diagnostic changes</t>
        </is>
      </c>
      <c r="C53" s="43" t="inlineStr">
        <is>
          <t>https://support.cch.com/updates/axcess/releasenotes.aspx</t>
        </is>
      </c>
      <c r="D53" s="21" t="n"/>
      <c r="E53" s="21" t="n"/>
      <c r="F53" s="21" t="n"/>
      <c r="G53" s="21" t="n"/>
      <c r="H53" s="21" t="n"/>
      <c r="I53" s="21" t="n"/>
      <c r="J53" s="21" t="n"/>
    </row>
  </sheetData>
  <mergeCells count="10">
    <mergeCell ref="A1:J1"/>
    <mergeCell ref="A42:F42"/>
    <mergeCell ref="B45:J45"/>
    <mergeCell ref="B46:J46"/>
    <mergeCell ref="B47:J47"/>
    <mergeCell ref="A4:J4"/>
    <mergeCell ref="A17:F17"/>
    <mergeCell ref="A2:J2"/>
    <mergeCell ref="B43:J43"/>
    <mergeCell ref="B44:J44"/>
  </mergeCells>
  <conditionalFormatting sqref="E19:E40">
    <cfRule type="colorScale" priority="2">
      <colorScale>
        <cfvo type="min"/>
        <cfvo type="num" val="0.75"/>
        <cfvo type="max"/>
        <color rgb="FFE6F0EB"/>
        <color rgb="FFD7B56D"/>
        <color rgb="FFB65C4A"/>
      </colorScale>
    </cfRule>
  </conditionalFormatting>
  <conditionalFormatting sqref="I10:I15">
    <cfRule type="dataBar" priority="1">
      <dataBar>
        <cfvo type="min"/>
        <cfvo type="max"/>
        <color rgb="FF638EC6"/>
      </dataBar>
    </cfRule>
  </conditionalFormatting>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J50"/>
  <sheetViews>
    <sheetView tabSelected="1" workbookViewId="0">
      <pane ySplit="2" topLeftCell="A3" activePane="bottomLeft" state="frozen"/>
      <selection pane="bottomLeft" activeCell="C33" sqref="C33:F33"/>
    </sheetView>
  </sheetViews>
  <sheetFormatPr baseColWidth="8" defaultRowHeight="14.4"/>
  <cols>
    <col width="16.6640625" customWidth="1" min="1" max="1"/>
    <col width="27.77734375" customWidth="1" min="2" max="2"/>
    <col width="38.88671875" customWidth="1" min="3" max="3"/>
    <col width="27.77734375" customWidth="1" min="4" max="4"/>
    <col width="26.88671875" customWidth="1" min="5" max="5"/>
    <col width="30.5546875" customWidth="1" min="6" max="6"/>
    <col width="29.6640625" customWidth="1" min="7" max="7"/>
    <col width="33.33203125" customWidth="1" min="8" max="8"/>
    <col width="30.5546875" customWidth="1" min="9" max="9"/>
    <col width="33.33203125" customWidth="1" min="10" max="10"/>
  </cols>
  <sheetData>
    <row r="1" ht="34.05" customHeight="1">
      <c r="A1" s="72" t="inlineStr">
        <is>
          <t>ADAIRE EXCEPTION RESOLVER — PRODUCT BLUEPRINT</t>
        </is>
      </c>
    </row>
    <row r="2" ht="24" customHeight="1">
      <c r="A2" s="73" t="inlineStr">
        <is>
          <t>Hypothetical proprietary CPA application for resolving CCH Axcess 1040 calculation and evidence gaps</t>
        </is>
      </c>
    </row>
    <row r="3" ht="10.05" customHeight="1">
      <c r="A3" s="43" t="n"/>
      <c r="B3" s="43" t="n"/>
      <c r="C3" s="43" t="n"/>
      <c r="D3" s="43" t="n"/>
      <c r="E3" s="43" t="n"/>
      <c r="F3" s="43" t="n"/>
      <c r="G3" s="43" t="n"/>
      <c r="H3" s="43" t="n"/>
      <c r="I3" s="43" t="n"/>
      <c r="J3" s="43" t="n"/>
    </row>
    <row r="4" ht="54" customHeight="1">
      <c r="A4" s="74" t="inlineStr">
        <is>
          <t>PRODUCT PROMISE</t>
        </is>
      </c>
      <c r="B4" s="75" t="inlineStr">
        <is>
          <t>One governed case file converts diagnostics and source documents into auditable calculations, proposed Axcess entries, reviewer approvals, and a retained evidence package.</t>
        </is>
      </c>
    </row>
    <row r="5" ht="42" customHeight="1">
      <c r="A5" s="94" t="n">
        <v>22</v>
      </c>
      <c r="B5" s="77" t="inlineStr">
        <is>
          <t>WORKFLOWS COVERED</t>
        </is>
      </c>
      <c r="C5" s="94" t="n">
        <v>8</v>
      </c>
      <c r="D5" s="77" t="inlineStr">
        <is>
          <t>CPA MODULES</t>
        </is>
      </c>
      <c r="E5" s="94" t="n">
        <v>3</v>
      </c>
      <c r="F5" s="77" t="inlineStr">
        <is>
          <t>BASIS LEDGERS</t>
        </is>
      </c>
      <c r="G5" s="94" t="n">
        <v>4</v>
      </c>
      <c r="H5" s="95" t="inlineStr">
        <is>
          <t>CONTROL GATES</t>
        </is>
      </c>
      <c r="I5" s="43" t="n"/>
      <c r="J5" s="43" t="n"/>
    </row>
    <row r="6" ht="42" customHeight="1">
      <c r="A6" s="78" t="inlineStr">
        <is>
          <t>Prepare → Calculate → Review → Post → Recalculate</t>
        </is>
      </c>
    </row>
    <row r="7" ht="10.05" customHeight="1">
      <c r="A7" s="43" t="n"/>
      <c r="B7" s="43" t="n"/>
      <c r="C7" s="43" t="n"/>
      <c r="D7" s="43" t="n"/>
      <c r="E7" s="43" t="n"/>
      <c r="F7" s="43" t="n"/>
      <c r="G7" s="43" t="n"/>
      <c r="H7" s="43" t="n"/>
      <c r="I7" s="43" t="n"/>
      <c r="J7" s="43" t="n"/>
    </row>
    <row r="8" ht="25.95" customHeight="1">
      <c r="A8" s="79" t="inlineStr">
        <is>
          <t>CPA USER FLOW — ONE CASE, ONE AUDIT TRAIL</t>
        </is>
      </c>
    </row>
    <row r="9" ht="43.95" customHeight="1">
      <c r="A9" s="80" t="inlineStr">
        <is>
          <t>Stage</t>
        </is>
      </c>
      <c r="B9" s="80" t="inlineStr">
        <is>
          <t>CPA action</t>
        </is>
      </c>
      <c r="C9" s="80" t="inlineStr">
        <is>
          <t>Application function</t>
        </is>
      </c>
      <c r="D9" s="80" t="inlineStr">
        <is>
          <t>Required control</t>
        </is>
      </c>
      <c r="E9" s="80" t="inlineStr">
        <is>
          <t>Primary output</t>
        </is>
      </c>
      <c r="F9" s="80" t="inlineStr">
        <is>
          <t>Axcess touchpoint</t>
        </is>
      </c>
      <c r="G9" s="80" t="inlineStr">
        <is>
          <t>Owner</t>
        </is>
      </c>
      <c r="H9" s="80" t="inlineStr">
        <is>
          <t>Status</t>
        </is>
      </c>
      <c r="I9" s="80" t="inlineStr">
        <is>
          <t>Evidence retained</t>
        </is>
      </c>
      <c r="J9" s="80" t="inlineStr">
        <is>
          <t>Exception route</t>
        </is>
      </c>
    </row>
    <row r="10" ht="54" customHeight="1">
      <c r="A10" s="87" t="inlineStr">
        <is>
          <t>1. Open case</t>
        </is>
      </c>
      <c r="B10" s="81" t="inlineStr">
        <is>
          <t>Select client, year, return and diagnostic</t>
        </is>
      </c>
      <c r="C10" s="81" t="inlineStr">
        <is>
          <t>Import return metadata; create immutable case ID; roll forward prior ledgers</t>
        </is>
      </c>
      <c r="D10" s="81" t="inlineStr">
        <is>
          <t>Identity and tax-year match</t>
        </is>
      </c>
      <c r="E10" s="81" t="inlineStr">
        <is>
          <t>Case workspace and open-item queue</t>
        </is>
      </c>
      <c r="F10" s="81" t="inlineStr">
        <is>
          <t>Return list / diagnostics</t>
        </is>
      </c>
      <c r="G10" s="81" t="inlineStr">
        <is>
          <t>Preparer</t>
        </is>
      </c>
      <c r="H10" s="81" t="inlineStr">
        <is>
          <t>Not started</t>
        </is>
      </c>
      <c r="I10" s="81" t="inlineStr">
        <is>
          <t>Import manifest</t>
        </is>
      </c>
      <c r="J10" s="81" t="inlineStr">
        <is>
          <t>Return administrator</t>
        </is>
      </c>
    </row>
    <row r="11" ht="54" customHeight="1">
      <c r="A11" s="88" t="inlineStr">
        <is>
          <t>2. Gather facts</t>
        </is>
      </c>
      <c r="B11" s="83" t="inlineStr">
        <is>
          <t>Upload K-1s, 1098s, broker files, calendars and workpapers</t>
        </is>
      </c>
      <c r="C11" s="83" t="inlineStr">
        <is>
          <t>Extract and map facts; flag missing or conflicting data</t>
        </is>
      </c>
      <c r="D11" s="83" t="inlineStr">
        <is>
          <t>Source-to-field trace and confidence check</t>
        </is>
      </c>
      <c r="E11" s="83" t="inlineStr">
        <is>
          <t>Normalized fact set</t>
        </is>
      </c>
      <c r="F11" s="83" t="inlineStr">
        <is>
          <t>Document / data import</t>
        </is>
      </c>
      <c r="G11" s="83" t="inlineStr">
        <is>
          <t>Preparer</t>
        </is>
      </c>
      <c r="H11" s="83" t="inlineStr">
        <is>
          <t>In progress</t>
        </is>
      </c>
      <c r="I11" s="83" t="inlineStr">
        <is>
          <t>Original files and extraction log</t>
        </is>
      </c>
      <c r="J11" s="83" t="inlineStr">
        <is>
          <t>Preparer resolves</t>
        </is>
      </c>
    </row>
    <row r="12" ht="54" customHeight="1">
      <c r="A12" s="87" t="inlineStr">
        <is>
          <t>3. Calculate</t>
        </is>
      </c>
      <c r="B12" s="81" t="inlineStr">
        <is>
          <t>Choose the relevant governed module</t>
        </is>
      </c>
      <c r="C12" s="81" t="inlineStr">
        <is>
          <t>Run versioned rules; roll ledgers; compare methods or scenarios</t>
        </is>
      </c>
      <c r="D12" s="81" t="inlineStr">
        <is>
          <t>Rule version, assumptions and unresolved facts shown</t>
        </is>
      </c>
      <c r="E12" s="81" t="inlineStr">
        <is>
          <t>Calculation workpaper and proposed result</t>
        </is>
      </c>
      <c r="F12" s="81" t="inlineStr">
        <is>
          <t>No write yet</t>
        </is>
      </c>
      <c r="G12" s="81" t="inlineStr">
        <is>
          <t>Preparer</t>
        </is>
      </c>
      <c r="H12" s="81" t="inlineStr">
        <is>
          <t>Ready for review</t>
        </is>
      </c>
      <c r="I12" s="81" t="inlineStr">
        <is>
          <t>Inputs, formulas and rule version</t>
        </is>
      </c>
      <c r="J12" s="81" t="inlineStr">
        <is>
          <t>Tax specialist if judgmental</t>
        </is>
      </c>
    </row>
    <row r="13" ht="54" customHeight="1">
      <c r="A13" s="88" t="inlineStr">
        <is>
          <t>4. Review</t>
        </is>
      </c>
      <c r="B13" s="83" t="inlineStr">
        <is>
          <t>Inspect result, evidence and changes from prior year</t>
        </is>
      </c>
      <c r="C13" s="83" t="inlineStr">
        <is>
          <t>Risk-rank issues; side-by-side source and calculation; reviewer comments</t>
        </is>
      </c>
      <c r="D13" s="83" t="inlineStr">
        <is>
          <t>Independent approval for override or election</t>
        </is>
      </c>
      <c r="E13" s="83" t="inlineStr">
        <is>
          <t>Approved / returned workpaper</t>
        </is>
      </c>
      <c r="F13" s="83" t="inlineStr">
        <is>
          <t>Proposed field and amount</t>
        </is>
      </c>
      <c r="G13" s="83" t="inlineStr">
        <is>
          <t>Reviewer</t>
        </is>
      </c>
      <c r="H13" s="83" t="inlineStr">
        <is>
          <t>Pending approval</t>
        </is>
      </c>
      <c r="I13" s="83" t="inlineStr">
        <is>
          <t>Review notes and sign-off</t>
        </is>
      </c>
      <c r="J13" s="83" t="inlineStr">
        <is>
          <t>Specialist or partner</t>
        </is>
      </c>
    </row>
    <row r="14" ht="54" customHeight="1">
      <c r="A14" s="87" t="inlineStr">
        <is>
          <t>5. Post</t>
        </is>
      </c>
      <c r="B14" s="81" t="inlineStr">
        <is>
          <t>Approve proposed Axcess entry</t>
        </is>
      </c>
      <c r="C14" s="81" t="inlineStr">
        <is>
          <t>Write through supported API or produce guided-entry packet</t>
        </is>
      </c>
      <c r="D14" s="81" t="inlineStr">
        <is>
          <t>No silent posting; user confirms return and field</t>
        </is>
      </c>
      <c r="E14" s="81" t="inlineStr">
        <is>
          <t>Posted entry with timestamp</t>
        </is>
      </c>
      <c r="F14" s="81" t="inlineStr">
        <is>
          <t>Override / input field</t>
        </is>
      </c>
      <c r="G14" s="81" t="inlineStr">
        <is>
          <t>Authorized poster</t>
        </is>
      </c>
      <c r="H14" s="81" t="inlineStr">
        <is>
          <t>Approved</t>
        </is>
      </c>
      <c r="I14" s="81" t="inlineStr">
        <is>
          <t>Before/after value and user</t>
        </is>
      </c>
      <c r="J14" s="81" t="inlineStr">
        <is>
          <t>Manual entry if API unavailable</t>
        </is>
      </c>
    </row>
    <row r="15" ht="54" customHeight="1">
      <c r="A15" s="89" t="inlineStr">
        <is>
          <t>6. Validate &amp; close</t>
        </is>
      </c>
      <c r="B15" s="84" t="inlineStr">
        <is>
          <t>Recalculate return and re-import diagnostics</t>
        </is>
      </c>
      <c r="C15" s="84" t="inlineStr">
        <is>
          <t>Confirm target diagnostic cleared; detect new diagnostics; lock package</t>
        </is>
      </c>
      <c r="D15" s="84" t="inlineStr">
        <is>
          <t>Calculation and diagnostic recheck required</t>
        </is>
      </c>
      <c r="E15" s="84" t="inlineStr">
        <is>
          <t>Closed case and indexed evidence pack</t>
        </is>
      </c>
      <c r="F15" s="84" t="inlineStr">
        <is>
          <t>Calculate / diagnostics / notes</t>
        </is>
      </c>
      <c r="G15" s="84" t="inlineStr">
        <is>
          <t>Reviewer</t>
        </is>
      </c>
      <c r="H15" s="84" t="inlineStr">
        <is>
          <t>Closed</t>
        </is>
      </c>
      <c r="I15" s="84" t="inlineStr">
        <is>
          <t>Final return state and package</t>
        </is>
      </c>
      <c r="J15" s="84" t="inlineStr">
        <is>
          <t>Reopen case if mismatch</t>
        </is>
      </c>
    </row>
    <row r="16" ht="10.05" customHeight="1">
      <c r="A16" s="43" t="n"/>
      <c r="B16" s="43" t="n"/>
      <c r="C16" s="43" t="n"/>
      <c r="D16" s="43" t="n"/>
      <c r="E16" s="43" t="n"/>
      <c r="F16" s="43" t="n"/>
      <c r="G16" s="43" t="n"/>
      <c r="H16" s="43" t="n"/>
      <c r="I16" s="43" t="n"/>
      <c r="J16" s="43" t="n"/>
    </row>
    <row r="17" ht="25.95" customHeight="1">
      <c r="A17" s="79" t="inlineStr">
        <is>
          <t>MODULE CATALOG — CPA-FRIENDLY NAVIGATION</t>
        </is>
      </c>
    </row>
    <row r="18" ht="43.95" customHeight="1">
      <c r="A18" s="80" t="inlineStr">
        <is>
          <t>#</t>
        </is>
      </c>
      <c r="B18" s="80" t="inlineStr">
        <is>
          <t>Module</t>
        </is>
      </c>
      <c r="C18" s="80" t="inlineStr">
        <is>
          <t>Functions grouped together</t>
        </is>
      </c>
      <c r="D18" s="80" t="inlineStr">
        <is>
          <t>Workbook coverage</t>
        </is>
      </c>
      <c r="E18" s="80" t="inlineStr">
        <is>
          <t>Automation posture</t>
        </is>
      </c>
      <c r="F18" s="80" t="inlineStr">
        <is>
          <t>Key inputs</t>
        </is>
      </c>
      <c r="G18" s="80" t="inlineStr">
        <is>
          <t>Key outputs</t>
        </is>
      </c>
      <c r="H18" s="80" t="inlineStr">
        <is>
          <t>Primary reviewer question</t>
        </is>
      </c>
      <c r="I18" s="80" t="inlineStr">
        <is>
          <t>Axcess handoff</t>
        </is>
      </c>
      <c r="J18" s="80" t="inlineStr">
        <is>
          <t>Escalation trigger</t>
        </is>
      </c>
    </row>
    <row r="19" ht="54" customHeight="1">
      <c r="A19" s="91" t="n">
        <v>1</v>
      </c>
      <c r="B19" s="87" t="inlineStr">
        <is>
          <t>Diagnostics &amp; Case Intake</t>
        </is>
      </c>
      <c r="C19" s="81" t="inlineStr">
        <is>
          <t>Diagnostic ingestion; category routing; document checklist; missing-fact requests; workpaper index</t>
        </is>
      </c>
      <c r="D19" s="81" t="inlineStr">
        <is>
          <t>2 and all modules</t>
        </is>
      </c>
      <c r="E19" s="81" t="inlineStr">
        <is>
          <t>High</t>
        </is>
      </c>
      <c r="F19" s="81" t="inlineStr">
        <is>
          <t>Diagnostic text, client/year, source documents</t>
        </is>
      </c>
      <c r="G19" s="81" t="inlineStr">
        <is>
          <t>Prioritized queue, assigned module, evidence checklist</t>
        </is>
      </c>
      <c r="H19" s="81" t="inlineStr">
        <is>
          <t>Is the issue correctly classified and fully sourced?</t>
        </is>
      </c>
      <c r="I19" s="81" t="inlineStr">
        <is>
          <t>Diagnostics, notes, return metadata</t>
        </is>
      </c>
      <c r="J19" s="81" t="inlineStr">
        <is>
          <t>Unknown code, conflicting documents, disqualifying issue</t>
        </is>
      </c>
    </row>
    <row r="20" ht="54" customHeight="1">
      <c r="A20" s="92" t="n">
        <v>2</v>
      </c>
      <c r="B20" s="88" t="inlineStr">
        <is>
          <t>Passthrough Basis &amp; Loss Limits</t>
        </is>
      </c>
      <c r="C20" s="83" t="inlineStr">
        <is>
          <t>Partnership outside basis; S-corp stock basis; shareholder-debt basis; at-risk; PAL; AMT parallel basis</t>
        </is>
      </c>
      <c r="D20" s="83" t="inlineStr">
        <is>
          <t>3, 4, 5, 9, 12</t>
        </is>
      </c>
      <c r="E20" s="83" t="inlineStr">
        <is>
          <t>High with review</t>
        </is>
      </c>
      <c r="F20" s="83" t="inlineStr">
        <is>
          <t>K-1s, contributions, distributions, debt, participation, prior carryovers</t>
        </is>
      </c>
      <c r="G20" s="83" t="inlineStr">
        <is>
          <t>Allowed loss, suspended layers, ending basis by ledger</t>
        </is>
      </c>
      <c r="H20" s="83" t="inlineStr">
        <is>
          <t>Are liability character, ordering and participation correct?</t>
        </is>
      </c>
      <c r="I20" s="83" t="inlineStr">
        <is>
          <t>Basis / 6198 / 8582 / 6251 fields</t>
        </is>
      </c>
      <c r="J20" s="83" t="inlineStr">
        <is>
          <t>Negative basis, debt restructuring, grouping election</t>
        </is>
      </c>
    </row>
    <row r="21" ht="54" customHeight="1">
      <c r="A21" s="91" t="n">
        <v>3</v>
      </c>
      <c r="B21" s="87" t="inlineStr">
        <is>
          <t>Investment &amp; Digital-Asset Basis</t>
        </is>
      </c>
      <c r="C21" s="81" t="inlineStr">
        <is>
          <t>Capital-loss carryovers; bond interest/premium; equity-comp basis; wash sales; NUA/IRD; crypto lots and income</t>
        </is>
      </c>
      <c r="D21" s="81" t="inlineStr">
        <is>
          <t>10, 14, 17, 18, 19</t>
        </is>
      </c>
      <c r="E21" s="81" t="inlineStr">
        <is>
          <t>High / hybrid</t>
        </is>
      </c>
      <c r="F21" s="81" t="inlineStr">
        <is>
          <t>Prior returns, trade files, payroll, wallets, plan and estate documents</t>
        </is>
      </c>
      <c r="G21" s="81" t="inlineStr">
        <is>
          <t>Tax lots, character, carryovers, income and deduction schedules</t>
        </is>
      </c>
      <c r="H21" s="81" t="inlineStr">
        <is>
          <t>Are all accounts, lots, elections and related parties included?</t>
        </is>
      </c>
      <c r="I21" s="81" t="inlineStr">
        <is>
          <t>Schedule B/D, Forms 8949 and related inputs</t>
        </is>
      </c>
      <c r="J21" s="81" t="inlineStr">
        <is>
          <t>Missing account, IRA wash sale, NUA or IRD election</t>
        </is>
      </c>
    </row>
    <row r="22" ht="54" customHeight="1">
      <c r="A22" s="92" t="n">
        <v>4</v>
      </c>
      <c r="B22" s="88" t="inlineStr">
        <is>
          <t>Transactional &amp; Replacement Basis</t>
        </is>
      </c>
      <c r="C22" s="83" t="inlineStr">
        <is>
          <t>§751(b); §704(c)(1)(B); §737; §752(b); trust step-up; §1033; reorg/liquidation/§1244 history</t>
        </is>
      </c>
      <c r="D22" s="83" t="inlineStr">
        <is>
          <t>11, 13, 21, 22</t>
        </is>
      </c>
      <c r="E22" s="83" t="inlineStr">
        <is>
          <t>Hybrid / specialist</t>
        </is>
      </c>
      <c r="F22" s="83" t="inlineStr">
        <is>
          <t>Entity agreements, historic basis, distribution and legal documents</t>
        </is>
      </c>
      <c r="G22" s="83" t="inlineStr">
        <is>
          <t>Event timeline, gain character, replacement/received-property basis</t>
        </is>
      </c>
      <c r="H22" s="83" t="inlineStr">
        <is>
          <t>Does legal form and multi-year tracing support the tax treatment?</t>
        </is>
      </c>
      <c r="I22" s="83" t="inlineStr">
        <is>
          <t>K-1, Schedule D, Forms 4797/8949 and elections</t>
        </is>
      </c>
      <c r="J22" s="83" t="inlineStr">
        <is>
          <t>Legal ambiguity, missing historic basis, qualification issue</t>
        </is>
      </c>
    </row>
    <row r="23" ht="54" customHeight="1">
      <c r="A23" s="91" t="n">
        <v>5</v>
      </c>
      <c r="B23" s="87" t="inlineStr">
        <is>
          <t>Property, Debt &amp; Household Use</t>
        </is>
      </c>
      <c r="C23" s="81" t="inlineStr">
        <is>
          <t>Mortgage debt tracing/limits; vacation-home allocation/method comparison; insolvency and attribute reduction</t>
        </is>
      </c>
      <c r="D23" s="81" t="inlineStr">
        <is>
          <t>15, 16, 20</t>
        </is>
      </c>
      <c r="E23" s="81" t="inlineStr">
        <is>
          <t>Hybrid</t>
        </is>
      </c>
      <c r="F23" s="81" t="inlineStr">
        <is>
          <t>1098s, debt use, rental calendar, FMV and liability evidence</t>
        </is>
      </c>
      <c r="G23" s="81" t="inlineStr">
        <is>
          <t>Deductible interest, Schedule E/A split, excluded COD and Form 982 support</t>
        </is>
      </c>
      <c r="H23" s="81" t="inlineStr">
        <is>
          <t>Are debt purpose, personal-use days, valuation and timing proven?</t>
        </is>
      </c>
      <c r="I23" s="81" t="inlineStr">
        <is>
          <t>Schedule A/E and Form 982</t>
        </is>
      </c>
      <c r="J23" s="81" t="inlineStr">
        <is>
          <t>Refinancing trace, disputed FMV, mixed personal/rental use</t>
        </is>
      </c>
    </row>
    <row r="24" ht="54" customHeight="1">
      <c r="A24" s="92" t="n">
        <v>6</v>
      </c>
      <c r="B24" s="88" t="inlineStr">
        <is>
          <t>State, Depreciation &amp; Mobility</t>
        </is>
      </c>
      <c r="C24" s="83" t="inlineStr">
        <is>
          <t>Federal/state/AMT depreciation; income sourcing; resident credit; mobile-employee workdays</t>
        </is>
      </c>
      <c r="D24" s="83" t="inlineStr">
        <is>
          <t>6, 7, 23</t>
        </is>
      </c>
      <c r="E24" s="83" t="inlineStr">
        <is>
          <t>High with state rules</t>
        </is>
      </c>
      <c r="F24" s="83" t="inlineStr">
        <is>
          <t>Asset ledger, state K-1 data, travel calendar, payroll and residency facts</t>
        </is>
      </c>
      <c r="G24" s="83" t="inlineStr">
        <is>
          <t>State modifications, allocation %, credit limitation, W-2 state split</t>
        </is>
      </c>
      <c r="H24" s="83" t="inlineStr">
        <is>
          <t>Are jurisdiction rules, residency and day-count exceptions current?</t>
        </is>
      </c>
      <c r="I24" s="83" t="inlineStr">
        <is>
          <t>State modifications, allocations, W-2 inputs</t>
        </is>
      </c>
      <c r="J24" s="83" t="inlineStr">
        <is>
          <t>Reciprocity, convenience rule, residency dispute</t>
        </is>
      </c>
    </row>
    <row r="25" ht="54" customHeight="1">
      <c r="A25" s="91" t="n">
        <v>7</v>
      </c>
      <c r="B25" s="87" t="inlineStr">
        <is>
          <t>Payments, Penalties &amp; Elections</t>
        </is>
      </c>
      <c r="C25" s="81" t="inlineStr">
        <is>
          <t>Safe harbor; quarterly payment matching; annualization; waiver evidence; deadline and election tracking</t>
        </is>
      </c>
      <c r="D25" s="81" t="inlineStr">
        <is>
          <t>8 plus elections in 18/21</t>
        </is>
      </c>
      <c r="E25" s="81" t="inlineStr">
        <is>
          <t>High / hybrid</t>
        </is>
      </c>
      <c r="F25" s="81" t="inlineStr">
        <is>
          <t>Tax, AGI, withholding, payment dates, income timing, waiver facts</t>
        </is>
      </c>
      <c r="G25" s="81" t="inlineStr">
        <is>
          <t>Required payment, shortfall, annualized result, election calendar</t>
        </is>
      </c>
      <c r="H25" s="81" t="inlineStr">
        <is>
          <t>Are payment timing, waiver facts and election deadlines substantiated?</t>
        </is>
      </c>
      <c r="I25" s="81" t="inlineStr">
        <is>
          <t>Form 2210 and election inputs</t>
        </is>
      </c>
      <c r="J25" s="81" t="inlineStr">
        <is>
          <t>Late/missing payment proof or discretionary waiver</t>
        </is>
      </c>
    </row>
    <row r="26" ht="54" customHeight="1">
      <c r="A26" s="93" t="n">
        <v>8</v>
      </c>
      <c r="B26" s="89" t="inlineStr">
        <is>
          <t>Specialist Case Desk &amp; Governance</t>
        </is>
      </c>
      <c r="C26" s="84" t="inlineStr">
        <is>
          <t>Rare-event routing; research memo; rule releases; permissions; sign-offs; audit export; quality analytics</t>
        </is>
      </c>
      <c r="D26" s="84" t="inlineStr">
        <is>
          <t>24 and governance for all</t>
        </is>
      </c>
      <c r="E26" s="84" t="inlineStr">
        <is>
          <t>Specialist-led</t>
        </is>
      </c>
      <c r="F26" s="84" t="inlineStr">
        <is>
          <t>Issue facts, authorities, firm policy and approvals</t>
        </is>
      </c>
      <c r="G26" s="84" t="inlineStr">
        <is>
          <t>Assigned specialist, conclusion memo, locked evidence package, metrics</t>
        </is>
      </c>
      <c r="H26" s="84" t="inlineStr">
        <is>
          <t>Is the conclusion authoritative, approved and reproducible?</t>
        </is>
      </c>
      <c r="I26" s="84" t="inlineStr">
        <is>
          <t>Notes, attachments and guided entry</t>
        </is>
      </c>
      <c r="J26" s="84" t="inlineStr">
        <is>
          <t>Novel position, material uncertainty, partner consultation</t>
        </is>
      </c>
    </row>
    <row r="27" ht="10.05" customHeight="1">
      <c r="A27" s="43" t="n"/>
      <c r="B27" s="43" t="n"/>
      <c r="C27" s="43" t="n"/>
      <c r="D27" s="43" t="n"/>
      <c r="E27" s="43" t="n"/>
      <c r="F27" s="43" t="n"/>
      <c r="G27" s="43" t="n"/>
      <c r="H27" s="43" t="n"/>
      <c r="I27" s="43" t="n"/>
      <c r="J27" s="43" t="n"/>
    </row>
    <row r="28" ht="10.05" customHeight="1">
      <c r="A28" s="43" t="n"/>
      <c r="B28" s="43" t="n"/>
      <c r="C28" s="43" t="n"/>
      <c r="D28" s="43" t="n"/>
      <c r="E28" s="43" t="n"/>
      <c r="F28" s="43" t="n"/>
      <c r="G28" s="43" t="n"/>
      <c r="H28" s="43" t="n"/>
      <c r="I28" s="43" t="n"/>
      <c r="J28" s="43" t="n"/>
    </row>
    <row r="29" ht="25.95" customHeight="1">
      <c r="A29" s="79" t="inlineStr">
        <is>
          <t>BASIS SUBSYSTEM — THREE SEPARATE BUT LINKED LEDGERS</t>
        </is>
      </c>
    </row>
    <row r="30" ht="43.95" customHeight="1">
      <c r="A30" s="80" t="inlineStr">
        <is>
          <t>Ledger</t>
        </is>
      </c>
      <c r="B30" s="80" t="inlineStr">
        <is>
          <t>Tracks</t>
        </is>
      </c>
      <c r="C30" s="80" t="inlineStr">
        <is>
          <t>Ordering / logic</t>
        </is>
      </c>
      <c r="D30" s="80" t="inlineStr">
        <is>
          <t>Rollforward outputs</t>
        </is>
      </c>
      <c r="E30" s="80" t="inlineStr">
        <is>
          <t>Cross-module links</t>
        </is>
      </c>
      <c r="F30" s="80" t="inlineStr">
        <is>
          <t>Evidence expected</t>
        </is>
      </c>
      <c r="G30" s="80" t="inlineStr">
        <is>
          <t>User controls</t>
        </is>
      </c>
      <c r="H30" s="80" t="inlineStr">
        <is>
          <t>Never inferred automatically</t>
        </is>
      </c>
      <c r="I30" s="80" t="inlineStr">
        <is>
          <t>Primary reports</t>
        </is>
      </c>
      <c r="J30" s="80" t="inlineStr">
        <is>
          <t>Risk flags</t>
        </is>
      </c>
    </row>
    <row r="31" ht="54" customHeight="1">
      <c r="A31" s="85" t="inlineStr">
        <is>
          <t>A. Passthrough ownership basis</t>
        </is>
      </c>
      <c r="B31" s="81" t="inlineStr">
        <is>
          <t>Partnership outside basis; S-corp stock basis; shareholder-debt basis maintained separately</t>
        </is>
      </c>
      <c r="C31" s="81" t="inlineStr">
        <is>
          <t>Entity-specific increases/decreases; stock-before-debt ordering; annual suspended-loss layers</t>
        </is>
      </c>
      <c r="D31" s="81" t="inlineStr">
        <is>
          <t>Beginning, activity, ending basis; allowed and suspended amounts</t>
        </is>
      </c>
      <c r="E31" s="81" t="inlineStr">
        <is>
          <t>At-risk, PAL, AMT, hot assets and distributions</t>
        </is>
      </c>
      <c r="F31" s="81" t="inlineStr">
        <is>
          <t>K-1s, basis schedules, capital/debt records</t>
        </is>
      </c>
      <c r="G31" s="81" t="inlineStr">
        <is>
          <t>Manual classification with reviewer approval</t>
        </is>
      </c>
      <c r="H31" s="81" t="inlineStr">
        <is>
          <t>Debt bona fides, liability character, grouping or participation</t>
        </is>
      </c>
      <c r="I31" s="81" t="inlineStr">
        <is>
          <t>Basis rollforward; loss-layer schedule; override packet</t>
        </is>
      </c>
      <c r="J31" s="81" t="inlineStr">
        <is>
          <t>Negative basis, distribution &gt; basis, debt restoration</t>
        </is>
      </c>
    </row>
    <row r="32" ht="54" customHeight="1">
      <c r="A32" s="85" t="inlineStr">
        <is>
          <t>B. Investment tax-lot basis</t>
        </is>
      </c>
      <c r="B32" s="83" t="inlineStr">
        <is>
          <t>Securities, equity compensation, bonds, crypto and retirement-plan stock lots</t>
        </is>
      </c>
      <c r="C32" s="83" t="inlineStr">
        <is>
          <t>Acquisition-event basis; compensation adjustments; wash-sale matching; elections</t>
        </is>
      </c>
      <c r="D32" s="83" t="inlineStr">
        <is>
          <t>Lot basis, holding period, disallowed loss, premium amortization, NUA split</t>
        </is>
      </c>
      <c r="E32" s="83" t="inlineStr">
        <is>
          <t>Capital carryover, Schedule B/D, IRD and crypto income</t>
        </is>
      </c>
      <c r="F32" s="83" t="inlineStr">
        <is>
          <t>Broker/payroll/plan statements, wallet history, prior return</t>
        </is>
      </c>
      <c r="G32" s="83" t="inlineStr">
        <is>
          <t>Account completeness and election confirmation</t>
        </is>
      </c>
      <c r="H32" s="83" t="inlineStr">
        <is>
          <t>Substantially identical security, missing wallet, investment intent</t>
        </is>
      </c>
      <c r="I32" s="83" t="inlineStr">
        <is>
          <t>Form 8949 export; income/basis reconciliation; election workpaper</t>
        </is>
      </c>
      <c r="J32" s="83" t="inlineStr">
        <is>
          <t>Duplicate income, orphan lot, cross-account wash sale</t>
        </is>
      </c>
    </row>
    <row r="33" ht="54" customHeight="1">
      <c r="A33" s="86" t="inlineStr">
        <is>
          <t>C. Transaction / replacement basis</t>
        </is>
      </c>
      <c r="B33" s="82" t="inlineStr">
        <is>
          <t>Distributed, replacement, inherited or reorganized property</t>
        </is>
      </c>
      <c r="C33" s="82" t="inlineStr">
        <is>
          <t>Carryover/substituted basis; recognized-gain adjustments; asset tracing across years</t>
        </is>
      </c>
      <c r="D33" s="82" t="inlineStr">
        <is>
          <t>Received/replacement asset basis and deferred-gain layers</t>
        </is>
      </c>
      <c r="E33" s="82" t="inlineStr">
        <is>
          <t>Mixing bowl, trust termination, §1033, reorg/liquidation/§1244</t>
        </is>
      </c>
      <c r="F33" s="82" t="inlineStr">
        <is>
          <t>Agreements, appraisals, legal and closing documents, historic schedules</t>
        </is>
      </c>
      <c r="G33" s="82" t="inlineStr">
        <is>
          <t>Specialist conclusion and asset linkage</t>
        </is>
      </c>
      <c r="H33" s="82" t="inlineStr">
        <is>
          <t>Legal qualification, FMV, tax character or missing history</t>
        </is>
      </c>
      <c r="I33" s="82" t="inlineStr">
        <is>
          <t>Transaction bridge; asset lineage; deferred-gain schedule</t>
        </is>
      </c>
      <c r="J33" s="82" t="inlineStr">
        <is>
          <t>Seven-year window, deadline, boot, unsupported historic basis</t>
        </is>
      </c>
    </row>
    <row r="34" ht="10.05" customHeight="1">
      <c r="A34" s="43" t="n"/>
      <c r="B34" s="43" t="n"/>
      <c r="C34" s="43" t="n"/>
      <c r="D34" s="43" t="n"/>
      <c r="E34" s="43" t="n"/>
      <c r="F34" s="43" t="n"/>
      <c r="G34" s="43" t="n"/>
      <c r="H34" s="43" t="n"/>
      <c r="I34" s="43" t="n"/>
      <c r="J34" s="43" t="n"/>
    </row>
    <row r="35" ht="25.95" customHeight="1">
      <c r="A35" s="79" t="inlineStr">
        <is>
          <t>SHARED PLATFORM, CONTROLS &amp; DELIVERY ROADMAP</t>
        </is>
      </c>
    </row>
    <row r="36" ht="43.95" customHeight="1">
      <c r="A36" s="80" t="inlineStr">
        <is>
          <t>Area</t>
        </is>
      </c>
      <c r="B36" s="80" t="inlineStr">
        <is>
          <t>MVP capability</t>
        </is>
      </c>
      <c r="C36" s="80" t="inlineStr">
        <is>
          <t>Later capability</t>
        </is>
      </c>
      <c r="D36" s="80" t="inlineStr">
        <is>
          <t>Control standard</t>
        </is>
      </c>
      <c r="E36" s="80" t="inlineStr">
        <is>
          <t>CPA-facing design</t>
        </is>
      </c>
      <c r="F36" s="80" t="inlineStr">
        <is>
          <t>Firm benefit</t>
        </is>
      </c>
      <c r="G36" s="80" t="inlineStr">
        <is>
          <t>Metric</t>
        </is>
      </c>
      <c r="H36" s="80" t="inlineStr">
        <is>
          <t>Target</t>
        </is>
      </c>
      <c r="I36" s="80" t="inlineStr">
        <is>
          <t>Owner</t>
        </is>
      </c>
      <c r="J36" s="80" t="inlineStr">
        <is>
          <t>Release gate</t>
        </is>
      </c>
    </row>
    <row r="37" ht="54" customHeight="1">
      <c r="A37" s="87" t="inlineStr">
        <is>
          <t>Data &amp; integrations</t>
        </is>
      </c>
      <c r="B37" s="81" t="inlineStr">
        <is>
          <t>File upload, return metadata, diagnostic import, CSV exports, guided Axcess entry</t>
        </is>
      </c>
      <c r="C37" s="81" t="inlineStr">
        <is>
          <t>Supported field-level API posting and two-way status sync</t>
        </is>
      </c>
      <c r="D37" s="81" t="inlineStr">
        <is>
          <t>Source lineage and before/after values</t>
        </is>
      </c>
      <c r="E37" s="81" t="inlineStr">
        <is>
          <t>Source document beside extracted fact</t>
        </is>
      </c>
      <c r="F37" s="81" t="inlineStr">
        <is>
          <t>Less rekeying and fewer missed facts</t>
        </is>
      </c>
      <c r="G37" s="81" t="inlineStr">
        <is>
          <t>Required facts complete</t>
        </is>
      </c>
      <c r="H37" s="81" t="inlineStr">
        <is>
          <t>&gt;95% before review</t>
        </is>
      </c>
      <c r="I37" s="81" t="inlineStr">
        <is>
          <t>Product owner</t>
        </is>
      </c>
      <c r="J37" s="81" t="inlineStr">
        <is>
          <t>Security and API validation</t>
        </is>
      </c>
    </row>
    <row r="38" ht="54" customHeight="1">
      <c r="A38" s="88" t="inlineStr">
        <is>
          <t>Rules engine</t>
        </is>
      </c>
      <c r="B38" s="83" t="inlineStr">
        <is>
          <t>Versioned formulas for high-automation modules</t>
        </is>
      </c>
      <c r="C38" s="83" t="inlineStr">
        <is>
          <t>Effective-dated federal/state content and scenario engine</t>
        </is>
      </c>
      <c r="D38" s="83" t="inlineStr">
        <is>
          <t>Rule ID, effective date, test case and approver</t>
        </is>
      </c>
      <c r="E38" s="83" t="inlineStr">
        <is>
          <t>Plain-English explanation plus calculation detail</t>
        </is>
      </c>
      <c r="F38" s="83" t="inlineStr">
        <is>
          <t>Consistent firm method</t>
        </is>
      </c>
      <c r="G38" s="83" t="inlineStr">
        <is>
          <t>Automated test pass rate</t>
        </is>
      </c>
      <c r="H38" s="83" t="inlineStr">
        <is>
          <t>100% critical tests</t>
        </is>
      </c>
      <c r="I38" s="83" t="inlineStr">
        <is>
          <t>Tax content lead</t>
        </is>
      </c>
      <c r="J38" s="83" t="inlineStr">
        <is>
          <t>Tax technical approval</t>
        </is>
      </c>
    </row>
    <row r="39" ht="54" customHeight="1">
      <c r="A39" s="87" t="inlineStr">
        <is>
          <t>Workflow &amp; approvals</t>
        </is>
      </c>
      <c r="B39" s="81" t="inlineStr">
        <is>
          <t>Preparer/reviewer queues, comments, return-for-correction, e-signoff</t>
        </is>
      </c>
      <c r="C39" s="81" t="inlineStr">
        <is>
          <t>Risk-based routing, specialist pools and workload analytics</t>
        </is>
      </c>
      <c r="D39" s="81" t="inlineStr">
        <is>
          <t>Separation of duties; no self-approval of material override</t>
        </is>
      </c>
      <c r="E39" s="81" t="inlineStr">
        <is>
          <t>Inbox by client, due date, severity and module</t>
        </is>
      </c>
      <c r="F39" s="81" t="inlineStr">
        <is>
          <t>Faster review and clear accountability</t>
        </is>
      </c>
      <c r="G39" s="81" t="inlineStr">
        <is>
          <t>Median review cycle</t>
        </is>
      </c>
      <c r="H39" s="81" t="inlineStr">
        <is>
          <t>&lt;1 business day</t>
        </is>
      </c>
      <c r="I39" s="81" t="inlineStr">
        <is>
          <t>Operations lead</t>
        </is>
      </c>
      <c r="J39" s="81" t="inlineStr">
        <is>
          <t>Workflow UAT</t>
        </is>
      </c>
    </row>
    <row r="40" ht="54" customHeight="1">
      <c r="A40" s="88" t="inlineStr">
        <is>
          <t>Evidence &amp; audit trail</t>
        </is>
      </c>
      <c r="B40" s="83" t="inlineStr">
        <is>
          <t>Immutable case ID, source index, calculation snapshot and sign-off history</t>
        </is>
      </c>
      <c r="C40" s="83" t="inlineStr">
        <is>
          <t>Automated workpaper binder and retention integration</t>
        </is>
      </c>
      <c r="D40" s="83" t="inlineStr">
        <is>
          <t>Reproducible result from retained inputs and rule version</t>
        </is>
      </c>
      <c r="E40" s="83" t="inlineStr">
        <is>
          <t>One-click evidence package</t>
        </is>
      </c>
      <c r="F40" s="83" t="inlineStr">
        <is>
          <t>Defensible file and easier inspection</t>
        </is>
      </c>
      <c r="G40" s="83" t="inlineStr">
        <is>
          <t>Cases with complete package</t>
        </is>
      </c>
      <c r="H40" s="83" t="inlineStr">
        <is>
          <t>100% closed cases</t>
        </is>
      </c>
      <c r="I40" s="83" t="inlineStr">
        <is>
          <t>Quality lead</t>
        </is>
      </c>
      <c r="J40" s="83" t="inlineStr">
        <is>
          <t>Retention/legal approval</t>
        </is>
      </c>
    </row>
    <row r="41" ht="54" customHeight="1">
      <c r="A41" s="87" t="inlineStr">
        <is>
          <t>Security &amp; privacy</t>
        </is>
      </c>
      <c r="B41" s="81" t="inlineStr">
        <is>
          <t>SSO, role-based access, encryption and client segregation</t>
        </is>
      </c>
      <c r="C41" s="81" t="inlineStr">
        <is>
          <t>Attribute-based access and DLP monitoring</t>
        </is>
      </c>
      <c r="D41" s="81" t="inlineStr">
        <is>
          <t>Least privilege and logged sensitive-data access</t>
        </is>
      </c>
      <c r="E41" s="81" t="inlineStr">
        <is>
          <t>Access follows engagement team</t>
        </is>
      </c>
      <c r="F41" s="81" t="inlineStr">
        <is>
          <t>Lower confidentiality risk</t>
        </is>
      </c>
      <c r="G41" s="81" t="inlineStr">
        <is>
          <t>Unauthorized access events</t>
        </is>
      </c>
      <c r="H41" s="81" t="n">
        <v>0</v>
      </c>
      <c r="I41" s="81" t="inlineStr">
        <is>
          <t>Security lead</t>
        </is>
      </c>
      <c r="J41" s="81" t="inlineStr">
        <is>
          <t>Security assessment</t>
        </is>
      </c>
    </row>
    <row r="42" ht="54" customHeight="1">
      <c r="A42" s="88" t="inlineStr">
        <is>
          <t>Quality analytics</t>
        </is>
      </c>
      <c r="B42" s="83" t="inlineStr">
        <is>
          <t>Open diagnostics, aging, returns by module and rework reason</t>
        </is>
      </c>
      <c r="C42" s="83" t="inlineStr">
        <is>
          <t>Predictive missing-fact and anomaly detection</t>
        </is>
      </c>
      <c r="D42" s="83" t="inlineStr">
        <is>
          <t>Models recommend; licensed professionals decide</t>
        </is>
      </c>
      <c r="E42" s="83" t="inlineStr">
        <is>
          <t>Explainable flags, never black-box posting</t>
        </is>
      </c>
      <c r="F42" s="83" t="inlineStr">
        <is>
          <t>Find systemic training and data issues</t>
        </is>
      </c>
      <c r="G42" s="83" t="inlineStr">
        <is>
          <t>Diagnostic recurrence</t>
        </is>
      </c>
      <c r="H42" s="83" t="inlineStr">
        <is>
          <t>Down quarter over quarter</t>
        </is>
      </c>
      <c r="I42" s="83" t="inlineStr">
        <is>
          <t>Quality lead</t>
        </is>
      </c>
      <c r="J42" s="83" t="inlineStr">
        <is>
          <t>Model-risk review</t>
        </is>
      </c>
    </row>
    <row r="43" ht="54" customHeight="1">
      <c r="A43" s="90" t="inlineStr">
        <is>
          <t>Delivery sequence</t>
        </is>
      </c>
      <c r="B43" s="82" t="inlineStr">
        <is>
          <t>Phase 1: intake + Modules 2, 6 and 7; Phase 2: Module 3; Phase 3: Modules 4, 5 and 8</t>
        </is>
      </c>
      <c r="C43" s="82" t="inlineStr">
        <is>
          <t>Broader API posting after field-level validation</t>
        </is>
      </c>
      <c r="D43" s="82" t="inlineStr">
        <is>
          <t>Pilot with test returns; parallel-run before production</t>
        </is>
      </c>
      <c r="E43" s="82" t="inlineStr">
        <is>
          <t>Release by coherent CPA workflow, not isolated calculators</t>
        </is>
      </c>
      <c r="F43" s="82" t="inlineStr">
        <is>
          <t>Value early without sacrificing governance</t>
        </is>
      </c>
      <c r="G43" s="82" t="inlineStr">
        <is>
          <t>MVP adoption</t>
        </is>
      </c>
      <c r="H43" s="82" t="inlineStr">
        <is>
          <t>&gt;70% of pilot users</t>
        </is>
      </c>
      <c r="I43" s="82" t="inlineStr">
        <is>
          <t>Sponsor</t>
        </is>
      </c>
      <c r="J43" s="82" t="inlineStr">
        <is>
          <t>Pilot acceptance</t>
        </is>
      </c>
    </row>
    <row r="44" ht="10.05" customHeight="1">
      <c r="A44" s="43" t="n"/>
      <c r="B44" s="43" t="n"/>
      <c r="C44" s="43" t="n"/>
      <c r="D44" s="43" t="n"/>
      <c r="E44" s="43" t="n"/>
      <c r="F44" s="43" t="n"/>
      <c r="G44" s="43" t="n"/>
      <c r="H44" s="43" t="n"/>
      <c r="I44" s="43" t="n"/>
      <c r="J44" s="43" t="n"/>
    </row>
    <row r="45" ht="25.95" customHeight="1">
      <c r="A45" s="79" t="inlineStr">
        <is>
          <t>ROLE-BASED HOME SCREENS</t>
        </is>
      </c>
    </row>
    <row r="46" ht="43.95" customHeight="1">
      <c r="A46" s="80" t="inlineStr">
        <is>
          <t>Role</t>
        </is>
      </c>
      <c r="B46" s="80" t="inlineStr">
        <is>
          <t>Default home screen</t>
        </is>
      </c>
      <c r="C46" s="80" t="inlineStr">
        <is>
          <t>Can prepare</t>
        </is>
      </c>
      <c r="D46" s="80" t="inlineStr">
        <is>
          <t>Can approve</t>
        </is>
      </c>
      <c r="E46" s="80" t="inlineStr">
        <is>
          <t>Can post</t>
        </is>
      </c>
      <c r="F46" s="80" t="inlineStr">
        <is>
          <t>Key alerts</t>
        </is>
      </c>
      <c r="G46" s="80" t="inlineStr">
        <is>
          <t>Daily view</t>
        </is>
      </c>
      <c r="H46" s="80" t="inlineStr">
        <is>
          <t>Restricted actions</t>
        </is>
      </c>
      <c r="I46" s="80" t="inlineStr">
        <is>
          <t>Success measure</t>
        </is>
      </c>
      <c r="J46" s="80" t="inlineStr">
        <is>
          <t>Handoff</t>
        </is>
      </c>
    </row>
    <row r="47" ht="54" customHeight="1">
      <c r="A47" s="87" t="inlineStr">
        <is>
          <t>Preparer</t>
        </is>
      </c>
      <c r="B47" s="81" t="inlineStr">
        <is>
          <t>My open cases and missing facts</t>
        </is>
      </c>
      <c r="C47" s="81" t="inlineStr">
        <is>
          <t>Yes</t>
        </is>
      </c>
      <c r="D47" s="81" t="inlineStr">
        <is>
          <t>No</t>
        </is>
      </c>
      <c r="E47" s="81" t="inlineStr">
        <is>
          <t>Only if separately authorized</t>
        </is>
      </c>
      <c r="F47" s="81" t="inlineStr">
        <is>
          <t>Missing documents, extraction conflicts, returned workpapers</t>
        </is>
      </c>
      <c r="G47" s="81" t="inlineStr">
        <is>
          <t>Client → issue → next action</t>
        </is>
      </c>
      <c r="H47" s="81" t="inlineStr">
        <is>
          <t>Cannot approve own material override</t>
        </is>
      </c>
      <c r="I47" s="81" t="inlineStr">
        <is>
          <t>First-pass completeness</t>
        </is>
      </c>
      <c r="J47" s="81" t="inlineStr">
        <is>
          <t>Reviewer queue</t>
        </is>
      </c>
    </row>
    <row r="48" ht="54" customHeight="1">
      <c r="A48" s="88" t="inlineStr">
        <is>
          <t>Reviewer / manager</t>
        </is>
      </c>
      <c r="B48" s="83" t="inlineStr">
        <is>
          <t>Items ready for review, ranked by risk and materiality</t>
        </is>
      </c>
      <c r="C48" s="83" t="inlineStr">
        <is>
          <t>Yes</t>
        </is>
      </c>
      <c r="D48" s="83" t="inlineStr">
        <is>
          <t>Yes</t>
        </is>
      </c>
      <c r="E48" s="83" t="inlineStr">
        <is>
          <t>If authorized</t>
        </is>
      </c>
      <c r="F48" s="83" t="inlineStr">
        <is>
          <t>Unusual changes, unresolved assumptions, diagnostic not cleared</t>
        </is>
      </c>
      <c r="G48" s="83" t="inlineStr">
        <is>
          <t>Evidence + calculation + proposed entry</t>
        </is>
      </c>
      <c r="H48" s="83" t="inlineStr">
        <is>
          <t>Cannot bypass required specialist gate</t>
        </is>
      </c>
      <c r="I48" s="83" t="inlineStr">
        <is>
          <t>Review cycle and rework</t>
        </is>
      </c>
      <c r="J48" s="83" t="inlineStr">
        <is>
          <t>Poster / close</t>
        </is>
      </c>
    </row>
    <row r="49" ht="54" customHeight="1">
      <c r="A49" s="87" t="inlineStr">
        <is>
          <t>Tax specialist / partner</t>
        </is>
      </c>
      <c r="B49" s="81" t="inlineStr">
        <is>
          <t>Escalated technical issues and elections</t>
        </is>
      </c>
      <c r="C49" s="81" t="inlineStr">
        <is>
          <t>Yes</t>
        </is>
      </c>
      <c r="D49" s="81" t="inlineStr">
        <is>
          <t>Yes for assigned specialty</t>
        </is>
      </c>
      <c r="E49" s="81" t="inlineStr">
        <is>
          <t>If authorized</t>
        </is>
      </c>
      <c r="F49" s="81" t="inlineStr">
        <is>
          <t>Novel authority, legal-form ambiguity, material uncertainty</t>
        </is>
      </c>
      <c r="G49" s="81" t="inlineStr">
        <is>
          <t>Facts → authorities → alternatives → conclusion</t>
        </is>
      </c>
      <c r="H49" s="81" t="inlineStr">
        <is>
          <t>Cannot alter source evidence silently</t>
        </is>
      </c>
      <c r="I49" s="81" t="inlineStr">
        <is>
          <t>Resolution quality and turnaround</t>
        </is>
      </c>
      <c r="J49" s="81" t="inlineStr">
        <is>
          <t>Reviewer</t>
        </is>
      </c>
    </row>
    <row r="50" ht="54" customHeight="1">
      <c r="A50" s="89" t="inlineStr">
        <is>
          <t>Administrator / quality</t>
        </is>
      </c>
      <c r="B50" s="84" t="inlineStr">
        <is>
          <t>Rule releases, access, stale cases and firm metrics</t>
        </is>
      </c>
      <c r="C50" s="84" t="inlineStr">
        <is>
          <t>No tax conclusion</t>
        </is>
      </c>
      <c r="D50" s="84" t="inlineStr">
        <is>
          <t>No tax conclusion</t>
        </is>
      </c>
      <c r="E50" s="84" t="inlineStr">
        <is>
          <t>No</t>
        </is>
      </c>
      <c r="F50" s="84" t="inlineStr">
        <is>
          <t>Failed tests, expired content, access anomalies</t>
        </is>
      </c>
      <c r="G50" s="84" t="inlineStr">
        <is>
          <t>Portfolio and control dashboard</t>
        </is>
      </c>
      <c r="H50" s="84" t="inlineStr">
        <is>
          <t>Cannot change case tax result</t>
        </is>
      </c>
      <c r="I50" s="84" t="inlineStr">
        <is>
          <t>Control compliance</t>
        </is>
      </c>
      <c r="J50" s="84" t="inlineStr">
        <is>
          <t>Product/tax content owner</t>
        </is>
      </c>
    </row>
  </sheetData>
  <mergeCells count="9">
    <mergeCell ref="A45:J45"/>
    <mergeCell ref="A1:J1"/>
    <mergeCell ref="A8:J8"/>
    <mergeCell ref="A6:J6"/>
    <mergeCell ref="A17:J17"/>
    <mergeCell ref="A29:J29"/>
    <mergeCell ref="A35:J35"/>
    <mergeCell ref="B4:J4"/>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2026-09-25T20:47:55Z</dcterms:created>
  <dcterms:modified xmlns:dcterms="http://purl.org/dc/terms/" xmlns:xsi="http://www.w3.org/2001/XMLSchema-instance" xsi:type="dcterms:W3CDTF">2026-10-12T16:22:55Z</dcterms:modified>
  <cp:lastModifiedBy>Shane Kennedy</cp:lastModifiedBy>
  <cp:revision>0</cp:revision>
</cp:coreProperties>
</file>