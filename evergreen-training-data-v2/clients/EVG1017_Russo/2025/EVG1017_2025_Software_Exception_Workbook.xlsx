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EVG1017 - Frank &amp; Diane Russo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EVG1017-SX1</t>
        </is>
      </c>
      <c r="B4" s="100" t="inlineStr">
        <is>
          <t>2. Diagnostics Log</t>
        </is>
      </c>
      <c r="C4" s="100" t="inlineStr">
        <is>
          <t>Original AND corrected Morgan Stanley consolidated 1099 both imported</t>
        </is>
      </c>
      <c r="D4" s="100" t="inlineStr">
        <is>
          <t>Same - an imported/entered second consolidated 1099 is additive; ProConnect does not know one supersedes the other.</t>
        </is>
      </c>
      <c r="E4" s="100" t="inlineStr">
        <is>
          <t>Delete the original 1099 entries; import/key the corrected statement only (screen per current release - verify).</t>
        </is>
      </c>
      <c r="F4" s="100" t="inlineStr"/>
      <c r="G4" s="100" t="inlineStr">
        <is>
          <t>None</t>
        </is>
      </c>
      <c r="H4" s="100" t="n">
        <v>78400</v>
      </c>
    </row>
    <row r="5">
      <c r="A5" s="100" t="inlineStr">
        <is>
          <t>EVG1017-SX2</t>
        </is>
      </c>
      <c r="B5" s="100" t="inlineStr">
        <is>
          <t>14. Bond Interest &amp; Premium</t>
        </is>
      </c>
      <c r="C5" s="100" t="inlineStr">
        <is>
          <t>Accrued interest paid at purchase and accrued market discount - not netted by the broker</t>
        </is>
      </c>
      <c r="D5" s="100" t="inlineStr">
        <is>
          <t>Same - accrued interest paid and market discount must be entered as separate adjustments.</t>
        </is>
      </c>
      <c r="E5" s="100" t="inlineStr">
        <is>
          <t>Interest income input: 'Accrued interest paid' / negative adjustment lines (-1,240 and -310, the latter flagged as US obligation interest); Dispositions: Ford sale code D -1,624 with the $1,624 reported as interest (screen/field per current release - verify).</t>
        </is>
      </c>
      <c r="F5" s="100" t="inlineStr"/>
      <c r="G5" s="100" t="inlineStr">
        <is>
          <t>None</t>
        </is>
      </c>
      <c r="H5" s="100" t="n">
        <v>-1550</v>
      </c>
    </row>
    <row r="6">
      <c r="A6" s="100" t="inlineStr">
        <is>
          <t>EVG1017-SX3</t>
        </is>
      </c>
      <c r="B6" s="100" t="inlineStr">
        <is>
          <t>2. Diagnostics Log</t>
        </is>
      </c>
      <c r="C6" s="100" t="inlineStr">
        <is>
          <t>Noncovered Abbott lot imports with $0 basis; WHFIT section outside the 1099 totals</t>
        </is>
      </c>
      <c r="D6" s="100" t="inlineStr">
        <is>
          <t>Same - noncovered basis must be keyed; WHFIT items are not part of a 1099 import.</t>
        </is>
      </c>
      <c r="E6" s="100" t="inlineStr">
        <is>
          <t>Dispositions: enter ABT cost basis 14,850; add WHFIT dividends and pro-rata sale lines manually (screen per current release - verify).</t>
        </is>
      </c>
      <c r="F6" s="100" t="inlineStr"/>
      <c r="G6" s="100" t="inlineStr">
        <is>
          <t>None</t>
        </is>
      </c>
      <c r="H6" s="100" t="n">
        <v>14850</v>
      </c>
    </row>
    <row r="7">
      <c r="A7" s="100" t="inlineStr">
        <is>
          <t>EVG1017-SX4</t>
        </is>
      </c>
      <c r="B7" s="100" t="inlineStr">
        <is>
          <t>3. K-1 Basis Limitation</t>
        </is>
      </c>
      <c r="C7" s="100" t="inlineStr">
        <is>
          <t>Ridgeview distribution exceeds outside basis once the 752(b) deemed distribution is counted</t>
        </is>
      </c>
      <c r="D7" s="100" t="inlineStr">
        <is>
          <t>Same - ProConnect does not compute partner outside basis from the K-1; a liability-share decrease must be entered as a deemed distribution.</t>
        </is>
      </c>
      <c r="E7" s="100" t="inlineStr">
        <is>
          <t>Partnership K-1 &gt; basis worksheet / Dispositions: enter the $9,500 excess distribution as a long-term capital gain (8949 box F) and document basis (screen/field per current release - verify).</t>
        </is>
      </c>
      <c r="F7" s="100" t="inlineStr"/>
      <c r="G7" s="100" t="inlineStr">
        <is>
          <t>None</t>
        </is>
      </c>
      <c r="H7" s="100" t="n">
        <v>9500</v>
      </c>
    </row>
    <row r="8">
      <c r="A8" s="100" t="inlineStr">
        <is>
          <t>EVG1017-SX5</t>
        </is>
      </c>
      <c r="B8" s="100" t="inlineStr">
        <is>
          <t>5. Passive Activity (8582)</t>
        </is>
      </c>
      <c r="C8" s="100" t="inlineStr">
        <is>
          <t>Passive baskets - Oak Brook LP loss + omitted PY carryover vs PTP isolation</t>
        </is>
      </c>
      <c r="D8" s="100" t="inlineStr">
        <is>
          <t>Same - prior-year unallowed losses and the PTP indicator are inputs.</t>
        </is>
      </c>
      <c r="E8" s="100" t="inlineStr">
        <is>
          <t>Partnership K-1 &gt; Passive Losses tab: prior-year unallowed Regular (and AMT) = 7,300 for Oak Brook; Permian: PTP = Yes with PY unallowed 1,150. Form 8582 can be forced (1=when applicable, 2=force) if needed.</t>
        </is>
      </c>
      <c r="F8" s="100" t="inlineStr">
        <is>
          <t>Intuit help: 'How to generate Form 8582 ... ProConnect Tax' (prior years' unallowed losses)</t>
        </is>
      </c>
      <c r="G8" s="100" t="inlineStr">
        <is>
          <t>None</t>
        </is>
      </c>
      <c r="H8" s="100" t="n">
        <v>41700</v>
      </c>
    </row>
    <row r="9">
      <c r="A9" s="100" t="inlineStr">
        <is>
          <t>EVG1017-SX6</t>
        </is>
      </c>
      <c r="B9" s="100" t="inlineStr">
        <is>
          <t>7. Multi-State Allocation</t>
        </is>
      </c>
      <c r="C9" s="100" t="inlineStr">
        <is>
          <t>PA-source K-1 income - PA-40 NR and IL Schedule CR not generated from the K-1 matrix</t>
        </is>
      </c>
      <c r="D9" s="100" t="inlineStr">
        <is>
          <t>Same - nonresident state returns and the resident credit depend on state-source amounts entered per K-1.</t>
        </is>
      </c>
      <c r="E9" s="100" t="inlineStr">
        <is>
          <t>Partnership K-1 &gt; State: PA-source 38,200; activate PA nonresident return; IL credit for tax paid to PA = 1,173 (screen/field per current release - verify).</t>
        </is>
      </c>
      <c r="F9" s="100" t="inlineStr"/>
      <c r="G9" s="100" t="inlineStr">
        <is>
          <t>PA-40 NR e-filed with the IL-1040</t>
        </is>
      </c>
      <c r="H9" s="100" t="n">
        <v>1173</v>
      </c>
    </row>
    <row r="10">
      <c r="A10" s="100" t="inlineStr">
        <is>
          <t>EVG1017-SX7</t>
        </is>
      </c>
      <c r="B10" s="100" t="inlineStr">
        <is>
          <t>2. Diagnostics Log</t>
        </is>
      </c>
      <c r="C10" s="100" t="inlineStr">
        <is>
          <t>IL subtraction for US Treasury interest must be net of accrued interest paid; muni add-back</t>
        </is>
      </c>
      <c r="D10" s="100" t="inlineStr">
        <is>
          <t>Same - the state US-obligation subtraction follows the amounts flagged as US obligation interest.</t>
        </is>
      </c>
      <c r="E10" s="100" t="inlineStr">
        <is>
          <t>Illinois return &gt; subtractions: US obligation interest 9,290; additions: out-of-state tax-exempt interest 4,800 (screen/field per current release - verify).</t>
        </is>
      </c>
      <c r="F10" s="100" t="inlineStr"/>
      <c r="G10" s="100" t="inlineStr">
        <is>
          <t>None</t>
        </is>
      </c>
      <c r="H10" s="100" t="n">
        <v>9290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EVG1017</t>
        </is>
      </c>
      <c r="B14" s="57" t="n">
        <v>2025</v>
      </c>
      <c r="C14" s="57" t="inlineStr">
        <is>
          <t>none fired</t>
        </is>
      </c>
      <c r="D14" s="57" t="inlineStr">
        <is>
          <t>[No diagnostic - logged by preparer] Original AND corrected Morgan Stanley consolidated 1099 both imported</t>
        </is>
      </c>
      <c r="E14" s="57" t="inlineStr">
        <is>
          <t>Other</t>
        </is>
      </c>
      <c r="F14" s="57" t="inlineStr">
        <is>
          <t>No</t>
        </is>
      </c>
      <c r="G14" s="57" t="inlineStr">
        <is>
          <t>Delete the original statement's import (bookmark 'superseded'); keep only the CORRECTED 03/12/2026 statement: box 1a $78,400 (+ WHFIT $1,380 = Sch B $79,780), box 3 return of capital $2,150 (reduces VGSLX basis - not income), box 5 $9,200, box 1f $1,624.</t>
        </is>
      </c>
      <c r="H14" s="3" t="n">
        <v>78400</v>
      </c>
      <c r="I14" s="57" t="inlineStr">
        <is>
          <t>Signed Off</t>
        </is>
      </c>
      <c r="J14" s="57" t="inlineStr">
        <is>
          <t>Staff preparer</t>
        </is>
      </c>
      <c r="K14" s="57" t="inlineStr">
        <is>
          <t>M. Osei (senior)</t>
        </is>
      </c>
      <c r="L14" s="57" t="inlineStr">
        <is>
          <t>EVG1017-SX1 | Workbook tab 2. Diagnostics Log</t>
        </is>
      </c>
    </row>
    <row r="15">
      <c r="A15" s="70" t="inlineStr">
        <is>
          <t>EVG1017</t>
        </is>
      </c>
      <c r="B15" s="70" t="n">
        <v>2025</v>
      </c>
      <c r="C15" s="70" t="inlineStr">
        <is>
          <t>none fired</t>
        </is>
      </c>
      <c r="D15" s="70" t="inlineStr">
        <is>
          <t>[No diagnostic - logged by preparer] Accrued interest paid at purchase and accrued market discount - not netted by the broker</t>
        </is>
      </c>
      <c r="E15" s="70" t="inlineStr">
        <is>
          <t>Other</t>
        </is>
      </c>
      <c r="F15" s="70" t="inlineStr">
        <is>
          <t>Yes</t>
        </is>
      </c>
      <c r="G15" s="70" t="inlineStr">
        <is>
          <t>Income &gt; Interest Income: add negative lines 'Accrued interest' -1,240 (corporate) and -310 (US obligation, so the IL subtraction is also reduced); add $1,624 market discount as interest. Gains and Losses: Ford row box D, code D, adjustment -1,624. Schedule B line 2b = $26,184.</t>
        </is>
      </c>
      <c r="H15" s="5" t="n">
        <v>-1550</v>
      </c>
      <c r="I15" s="70" t="inlineStr">
        <is>
          <t>Signed Off</t>
        </is>
      </c>
      <c r="J15" s="70" t="inlineStr">
        <is>
          <t>Staff preparer</t>
        </is>
      </c>
      <c r="K15" s="70" t="inlineStr">
        <is>
          <t>M. Osei (senior)</t>
        </is>
      </c>
      <c r="L15" s="70" t="inlineStr">
        <is>
          <t>EVG1017-SX2 | Workbook tab 14. Bond Interest &amp; Premium</t>
        </is>
      </c>
    </row>
    <row r="16">
      <c r="A16" s="57" t="inlineStr">
        <is>
          <t>EVG1017</t>
        </is>
      </c>
      <c r="B16" s="57" t="n">
        <v>2025</v>
      </c>
      <c r="C16" s="57" t="inlineStr">
        <is>
          <t>none fired</t>
        </is>
      </c>
      <c r="D16" s="57" t="inlineStr">
        <is>
          <t>[No diagnostic - logged by preparer] Noncovered Abbott lot imports with $0 basis; WHFIT section outside the 1099 totals</t>
        </is>
      </c>
      <c r="E16" s="57" t="inlineStr">
        <is>
          <t>Capital Loss</t>
        </is>
      </c>
      <c r="F16" s="57" t="inlineStr">
        <is>
          <t>Yes</t>
        </is>
      </c>
      <c r="G16" s="57" t="inlineStr">
        <is>
          <t>Gains and Losses: ABT row basis $14,850 (2009 Schwab confirm) -&gt; gain $22,050. Add WHFIT: dividends $1,380 ($1,210 qualified) on Schedule B; pro-rata sales on 8949 box E proceeds $4,820 / basis $4,310 (+$510); trust expenses $95 not deductible.</t>
        </is>
      </c>
      <c r="H16" s="3" t="n">
        <v>14850</v>
      </c>
      <c r="I16" s="57" t="inlineStr">
        <is>
          <t>Signed Off</t>
        </is>
      </c>
      <c r="J16" s="57" t="inlineStr">
        <is>
          <t>Staff preparer</t>
        </is>
      </c>
      <c r="K16" s="57" t="inlineStr">
        <is>
          <t>M. Osei (senior)</t>
        </is>
      </c>
      <c r="L16" s="57" t="inlineStr">
        <is>
          <t>EVG1017-SX3 | Workbook tab 2. Diagnostics Log</t>
        </is>
      </c>
    </row>
    <row r="17">
      <c r="A17" s="70" t="inlineStr">
        <is>
          <t>EVG1017</t>
        </is>
      </c>
      <c r="B17" s="70" t="n">
        <v>2025</v>
      </c>
      <c r="C17" s="70" t="inlineStr">
        <is>
          <t>none fired</t>
        </is>
      </c>
      <c r="D17" s="70" t="inlineStr">
        <is>
          <t>[No diagnostic - logged by preparer] Ridgeview distribution exceeds outside basis once the 752(b) deemed distribution is counted</t>
        </is>
      </c>
      <c r="E17" s="70" t="inlineStr">
        <is>
          <t>Basis/At-Risk/Passive</t>
        </is>
      </c>
      <c r="F17" s="70" t="inlineStr">
        <is>
          <t>Yes</t>
        </is>
      </c>
      <c r="G17" s="70" t="inlineStr">
        <is>
          <t>Income/Deductions &gt; Partnership Passthrough &gt; Section 6 (Basis Limitation): beginning basis $15,500 (tax capital -2,500 + liabilities 18,000); income +$59,000; distributions $80,000 cash + $4,000 752(b) deemed = $84,000 -&gt; excess $9,500 IRC 731(a) LTCG on Form 8949 box F (held since 2017; footnote: no 751 property). Ending basis $0.</t>
        </is>
      </c>
      <c r="H17" s="5" t="n">
        <v>9500</v>
      </c>
      <c r="I17" s="70" t="inlineStr">
        <is>
          <t>Signed Off</t>
        </is>
      </c>
      <c r="J17" s="70" t="inlineStr">
        <is>
          <t>Staff preparer</t>
        </is>
      </c>
      <c r="K17" s="70" t="inlineStr">
        <is>
          <t>M. Osei (senior)</t>
        </is>
      </c>
      <c r="L17" s="70" t="inlineStr">
        <is>
          <t>EVG1017-SX4 | Workbook tab 3. K-1 Basis Limitation | Supporting rows on tab 3 (basis) and tab 11 (752(b) liability shift).</t>
        </is>
      </c>
    </row>
    <row r="18">
      <c r="A18" s="57" t="inlineStr">
        <is>
          <t>EVG1017</t>
        </is>
      </c>
      <c r="B18" s="57" t="n">
        <v>2025</v>
      </c>
      <c r="C18" s="57" t="inlineStr">
        <is>
          <t>none fired</t>
        </is>
      </c>
      <c r="D18" s="57" t="inlineStr">
        <is>
          <t>[No diagnostic - logged by preparer] Passive baskets - Oak Brook LP loss + omitted PY carryover vs PTP isolation</t>
        </is>
      </c>
      <c r="E18" s="57" t="inlineStr">
        <is>
          <t>Basis/At-Risk/Passive</t>
        </is>
      </c>
      <c r="F18" s="57" t="inlineStr">
        <is>
          <t>Yes</t>
        </is>
      </c>
      <c r="G18" s="57" t="inlineStr">
        <is>
          <t>Partnership Passthrough: Oak Brook prior-year unallowed loss $7,300 (from PY 8582 / PERM); Permian: check 'Publicly traded partnership' so 469(k) isolates it (PY suspended $1,150). Result: Oak Brook $9,600 + $7,300 allowed against Ridgeview $58,600 -&gt; Schedule E $41,700; PTP $3,490 suspended (excluded from QBI). LP -&gt; no $25k allowance.</t>
        </is>
      </c>
      <c r="H18" s="3" t="n">
        <v>41700</v>
      </c>
      <c r="I18" s="57" t="inlineStr">
        <is>
          <t>Signed Off</t>
        </is>
      </c>
      <c r="J18" s="57" t="inlineStr">
        <is>
          <t>Staff preparer</t>
        </is>
      </c>
      <c r="K18" s="57" t="inlineStr">
        <is>
          <t>M. Osei (senior)</t>
        </is>
      </c>
      <c r="L18" s="57" t="inlineStr">
        <is>
          <t>EVG1017-SX5 | Workbook tab 5. Passive Activity (8582)</t>
        </is>
      </c>
    </row>
    <row r="19">
      <c r="A19" s="70" t="inlineStr">
        <is>
          <t>EVG1017</t>
        </is>
      </c>
      <c r="B19" s="70" t="n">
        <v>2025</v>
      </c>
      <c r="C19" s="70" t="inlineStr">
        <is>
          <t>none fired</t>
        </is>
      </c>
      <c r="D19" s="70" t="inlineStr">
        <is>
          <t>[No diagnostic - logged by preparer] PA-source K-1 income - PA-40 NR and IL Schedule CR not generated from the K-1 matrix</t>
        </is>
      </c>
      <c r="E19" s="70" t="inlineStr">
        <is>
          <t>State Allocation</t>
        </is>
      </c>
      <c r="F19" s="70" t="inlineStr">
        <is>
          <t>Yes</t>
        </is>
      </c>
      <c r="G19" s="70" t="inlineStr">
        <is>
          <t>Partnership Passthrough &gt; state allocation: PA $38,200 (IL $19,000; WI $1,400 under WI's $2,000 threshold). Add PA-40 NR: tax $1,173 = NRK-1 withholding $1,173. IL Schedule CR: lesser of PA tax $1,173 or IL tax on PA income (16,864 x 38,200/346,385 = $1,860) -&gt; $1,173. 731 gain treated as non-PA-source (assumption, flagged for signer).</t>
        </is>
      </c>
      <c r="H19" s="5" t="n">
        <v>1173</v>
      </c>
      <c r="I19" s="70" t="inlineStr">
        <is>
          <t>Signed Off</t>
        </is>
      </c>
      <c r="J19" s="70" t="inlineStr">
        <is>
          <t>Staff preparer</t>
        </is>
      </c>
      <c r="K19" s="70" t="inlineStr">
        <is>
          <t>M. Osei (senior)</t>
        </is>
      </c>
      <c r="L19" s="70" t="inlineStr">
        <is>
          <t>EVG1017-SX6 | Workbook tab 7. Multi-State Allocation</t>
        </is>
      </c>
    </row>
    <row r="20">
      <c r="A20" s="57" t="inlineStr">
        <is>
          <t>EVG1017</t>
        </is>
      </c>
      <c r="B20" s="57" t="n">
        <v>2025</v>
      </c>
      <c r="C20" s="57" t="inlineStr">
        <is>
          <t>none fired</t>
        </is>
      </c>
      <c r="D20" s="57" t="inlineStr">
        <is>
          <t>[No diagnostic - logged by preparer] IL subtraction for US Treasury interest must be net of accrued interest paid; muni add-back</t>
        </is>
      </c>
      <c r="E20" s="57" t="inlineStr">
        <is>
          <t>State Allocation</t>
        </is>
      </c>
      <c r="F20" s="57" t="inlineStr">
        <is>
          <t>Yes</t>
        </is>
      </c>
      <c r="G20" s="57" t="inlineStr">
        <is>
          <t>Illinois &gt; Schedule M: US obligation subtraction $9,290 (9,600 - 310); tax-exempt interest add-back $4,800 (NY/CA/TX issuers). IL base income $346,385.</t>
        </is>
      </c>
      <c r="H20" s="3" t="n">
        <v>9290</v>
      </c>
      <c r="I20" s="57" t="inlineStr">
        <is>
          <t>Signed Off</t>
        </is>
      </c>
      <c r="J20" s="57" t="inlineStr">
        <is>
          <t>Staff preparer</t>
        </is>
      </c>
      <c r="K20" s="57" t="inlineStr">
        <is>
          <t>M. Osei (senior)</t>
        </is>
      </c>
      <c r="L20" s="57" t="inlineStr">
        <is>
          <t>EVG1017-SX7 | Workbook tab 2. Diagnostics Log</t>
        </is>
      </c>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inlineStr">
        <is>
          <t>Ridgeview Capital Partners LLC (Frank, passive)</t>
        </is>
      </c>
      <c r="B13" s="7" t="n">
        <v>15500</v>
      </c>
      <c r="C13" s="7" t="n">
        <v>59000</v>
      </c>
      <c r="D13" s="7" t="n">
        <v>84000</v>
      </c>
      <c r="E13" s="7">
        <f>B13+C13-D13</f>
        <v/>
      </c>
      <c r="F13" s="6" t="inlineStr">
        <is>
          <t>Beg basis = tax capital (2,500) + liabilities 18,000. Income = box 1 58,600 + box 5 400. Decreases = cash 80,000 + 752(b) deemed 4,000. NEGATIVE ending basis (9,500) = distribution in excess of basis -&gt; 731(a) LTCG 8949 box F.</t>
        </is>
      </c>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v>0</v>
      </c>
      <c r="D24" s="3">
        <f>IF(C24=0,0,-MIN(C24,B24))</f>
        <v/>
      </c>
      <c r="E24" s="3">
        <f>IF(C24&gt;B24,C24-B24,0)</f>
        <v/>
      </c>
      <c r="F24" s="57" t="inlineStr">
        <is>
          <t>No loss in 2025 - limitation not needed for losses; excess distribution gain 9,500 instead (see tab 11).</t>
        </is>
      </c>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inlineStr">
        <is>
          <t>Oak Brook Industrial Partners LP (limited partner)</t>
        </is>
      </c>
      <c r="B13" s="57" t="inlineStr">
        <is>
          <t>N - LP, no $25k allowance</t>
        </is>
      </c>
      <c r="C13" s="3" t="n">
        <v>16900</v>
      </c>
      <c r="D13" s="3" t="n">
        <v>58600</v>
      </c>
      <c r="E13" s="3">
        <f>C13-D13</f>
        <v/>
      </c>
      <c r="F13" s="57" t="inlineStr">
        <is>
          <t>2025 loss 9,600 + PY suspended 7,300 vs Ridgeview passive income 58,600 -&gt; all allowed; net passive income 41,700 = Sch E line 41.</t>
        </is>
      </c>
    </row>
    <row r="14">
      <c r="A14" s="70" t="inlineStr">
        <is>
          <t>Permian Midstream Partners LP (PTP)</t>
        </is>
      </c>
      <c r="B14" s="70" t="inlineStr">
        <is>
          <t>N - PTP (469(k) separate basket)</t>
        </is>
      </c>
      <c r="C14" s="5" t="n">
        <v>3490</v>
      </c>
      <c r="D14" s="5" t="n">
        <v>0</v>
      </c>
      <c r="E14" s="5">
        <f>C14-D14</f>
        <v/>
      </c>
      <c r="F14" s="70" t="inlineStr">
        <is>
          <t>2025 loss 2,340 + PY 1,150; no income from the same PTP -&gt; 3,490 suspended to 2026; excluded from QBI.</t>
        </is>
      </c>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v>350875</v>
      </c>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inlineStr">
        <is>
          <t>PA (nonresident) - credit on IL-1040 Sch CR</t>
        </is>
      </c>
      <c r="B12" s="3" t="n">
        <v>346385</v>
      </c>
      <c r="C12" s="3" t="n">
        <v>38200</v>
      </c>
      <c r="D12" s="12">
        <f>IF(B12=0,0,C12/B12)</f>
        <v/>
      </c>
      <c r="E12" s="3" t="n">
        <v>1173</v>
      </c>
      <c r="F12" s="3">
        <f>MIN(E12,G12*D12)</f>
        <v/>
      </c>
      <c r="G12" t="n">
        <v>16864</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inlineStr">
        <is>
          <t>Frank Russo - Ridgeview Capital Partners LLC</t>
        </is>
      </c>
      <c r="B16" s="3" t="inlineStr">
        <is>
          <t>752b</t>
        </is>
      </c>
      <c r="C16" s="3" t="n">
        <v>74500</v>
      </c>
      <c r="D16" s="3" t="n">
        <v>0</v>
      </c>
      <c r="E16" s="3" t="n">
        <v>18000</v>
      </c>
      <c r="F16" s="3" t="n">
        <v>14000</v>
      </c>
      <c r="G16" s="3" t="n">
        <v>9500</v>
      </c>
      <c r="H16" s="3" t="inlineStr">
        <is>
          <t>Liability share 18,000 -&gt; 14,000 = 4,000 deemed cash distribution (752(b)). Basis after income 74,500 &lt; cash 80,000 + 4,000 -&gt; 9,500 gain (731(a)); footnote confirms no 751 hot assets. Not a 704(c)/737 event.</t>
        </is>
      </c>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inlineStr">
        <is>
          <t>Apple Inc 3.35% 02/09/2032 (bought 03/11/2025)</t>
        </is>
      </c>
      <c r="B11" s="3" t="n">
        <v>3350</v>
      </c>
      <c r="C11" s="3" t="n">
        <v>-1240</v>
      </c>
      <c r="D11" s="3" t="n"/>
      <c r="E11" s="3" t="n"/>
      <c r="F11" s="3" t="inlineStr">
        <is>
          <t>Taxable. Accrued interest paid to seller at purchase - negative Sch B line.</t>
        </is>
      </c>
    </row>
    <row r="12">
      <c r="A12" s="70" t="inlineStr">
        <is>
          <t>US Treasury Note 4.25% 06/30/2030 (bought 07/15/2025)</t>
        </is>
      </c>
      <c r="B12" s="5" t="n">
        <v>3187.5</v>
      </c>
      <c r="C12" s="5" t="n">
        <v>-310</v>
      </c>
      <c r="D12" s="5" t="n"/>
      <c r="E12" s="5" t="n"/>
      <c r="F12" s="5" t="inlineStr">
        <is>
          <t>Taxable federal / exempt IL: IL subtraction = box 3 9,600 - 310 = 9,290.</t>
        </is>
      </c>
    </row>
    <row r="13">
      <c r="A13" s="57" t="inlineStr">
        <is>
          <t>Ford Motor Credit 4.95% 2031 - accrued market discount (1099-B box 1f)</t>
        </is>
      </c>
      <c r="B13" s="3" t="n">
        <v>1624</v>
      </c>
      <c r="C13" s="3" t="n"/>
      <c r="D13" s="3" t="n"/>
      <c r="E13" s="3" t="n"/>
      <c r="F13" s="3" t="inlineStr">
        <is>
          <t>Not 1099-INT: ratable accrual 4,250 x 1,282/3,356 days = 1,624 -&gt; Sch B interest; 8949 code D (1,624).</t>
        </is>
      </c>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2026-10-12T16:22:58Z</dcterms:modified>
  <cp:lastModifiedBy>Shane Kennedy</cp:lastModifiedBy>
  <cp:revision>0</cp:revision>
</cp:coreProperties>
</file>