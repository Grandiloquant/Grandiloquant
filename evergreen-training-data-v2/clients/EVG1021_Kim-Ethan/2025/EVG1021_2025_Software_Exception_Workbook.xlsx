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EVG1021 - Ethan S. Kim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EVG1021-SX1</t>
        </is>
      </c>
      <c r="B4" s="100" t="inlineStr">
        <is>
          <t>2. Diagnostics Log</t>
        </is>
      </c>
      <c r="C4" s="100" t="inlineStr">
        <is>
          <t>Form 8615 parent figures - stale 2024 data / manual entry; must match the FINAL EVG1010 return</t>
        </is>
      </c>
      <c r="D4" s="100" t="inlineStr">
        <is>
          <t>ProConnect has no Family Link (that is a Lacerte feature); the parent's information is not pulled from the parents' return. Without it, diagnostic ref 826 ('Form 8615 must be filed') appears and the tax cannot be computed correctly.</t>
        </is>
      </c>
      <c r="E4" s="100" t="inlineStr">
        <is>
          <t>Taxes &gt; Children Under 18 (8615) &gt; Parent's Information: enter the parents' names/SSN, filing status MFJ, taxable income 402,319, tax 80,830, and the qualified dividend / capital gain figures; update manually if EVG1010 changes.</t>
        </is>
      </c>
      <c r="F4" s="100" t="inlineStr">
        <is>
          <t>Intuit help: 'How do you generate Form 8615 in ProConnect Tax'; 'resolve diagnostic Ref 826'</t>
        </is>
      </c>
      <c r="G4" s="100" t="inlineStr">
        <is>
          <t>None (transmit after EVG1010 is accepted - duplicate-dependent reject risk otherwise)</t>
        </is>
      </c>
      <c r="H4" s="100" t="n">
        <v>402319</v>
      </c>
    </row>
    <row r="5">
      <c r="A5" s="100" t="inlineStr">
        <is>
          <t>EVG1021-SX2</t>
        </is>
      </c>
      <c r="B5" s="100" t="inlineStr">
        <is>
          <t>2. Diagnostics Log</t>
        </is>
      </c>
      <c r="C5" s="100" t="inlineStr">
        <is>
          <t>'Can be claimed as a dependent' box - dependent standard deduction $3,650</t>
        </is>
      </c>
      <c r="D5" s="100" t="inlineStr">
        <is>
          <t>Same - the dependent standard deduction applies only when the 'can be claimed as a dependent' box is checked.</t>
        </is>
      </c>
      <c r="E5" s="100" t="inlineStr">
        <is>
          <t>General &gt; Taxpayer information: 'Can be claimed as a dependent on another return' = Yes (field per current release - verify).</t>
        </is>
      </c>
      <c r="F5" s="100" t="inlineStr"/>
      <c r="G5" s="100" t="inlineStr">
        <is>
          <t>None</t>
        </is>
      </c>
      <c r="H5" s="100" t="n">
        <v>3650</v>
      </c>
    </row>
    <row r="6">
      <c r="A6" s="100" t="inlineStr">
        <is>
          <t>EVG1021-SX3</t>
        </is>
      </c>
      <c r="B6" s="100" t="inlineStr">
        <is>
          <t>2. Diagnostics Log</t>
        </is>
      </c>
      <c r="C6" s="100" t="inlineStr">
        <is>
          <t>Form 8814 rolled forward on the parents' return although Ethan no longer qualifies</t>
        </is>
      </c>
      <c r="D6" s="100" t="inlineStr">
        <is>
          <t>Same - a Form 8814 entry carried forward on the parents' return is not tested against the child's other income.</t>
        </is>
      </c>
      <c r="E6" s="100" t="inlineStr">
        <is>
          <t>Parents' return: remove Ethan's 8814 entry (Taxes &gt; Children's Interest and Dividends, screen per current release - verify); prepare Ethan's own 1040 with Form 8615.</t>
        </is>
      </c>
      <c r="F6" s="100" t="inlineStr"/>
      <c r="G6" s="100" t="inlineStr">
        <is>
          <t>None</t>
        </is>
      </c>
      <c r="H6" s="100" t="n">
        <v>6400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EVG1021</t>
        </is>
      </c>
      <c r="B14" s="57" t="n">
        <v>2025</v>
      </c>
      <c r="C14" s="57" t="inlineStr">
        <is>
          <t>none fired</t>
        </is>
      </c>
      <c r="D14" s="57" t="inlineStr">
        <is>
          <t>[No diagnostic - logged by preparer] Form 8615 parent figures - stale 2024 data / manual entry; must match the FINAL EVG1010 return</t>
        </is>
      </c>
      <c r="E14" s="57" t="inlineStr">
        <is>
          <t>Other</t>
        </is>
      </c>
      <c r="F14" s="57" t="inlineStr">
        <is>
          <t>Yes</t>
        </is>
      </c>
      <c r="G14" s="57" t="inlineStr">
        <is>
          <t>Form 8615 (Kiddie tax) input: parents Daniel &amp; Grace Kim, MFJ, 2025 taxable income $402,319, qualified dividends $5,904, net capital gain $9,877, tax $80,830 (excluding the $55 Form 8814 tax); no other children's NUI (Chloe is on Form 8814). Result: tax on NUI $628 + $14 = $642 (line 16). Release only after EVG1010 is locked/accepted (verify field names in current release).</t>
        </is>
      </c>
      <c r="H14" s="3" t="n">
        <v>402319</v>
      </c>
      <c r="I14" s="57" t="inlineStr">
        <is>
          <t>Signed Off</t>
        </is>
      </c>
      <c r="J14" s="57" t="inlineStr">
        <is>
          <t>Staff preparer</t>
        </is>
      </c>
      <c r="K14" s="57" t="inlineStr">
        <is>
          <t>M. Okafor (senior)</t>
        </is>
      </c>
      <c r="L14" s="57" t="inlineStr">
        <is>
          <t>EVG1021-SX1 | Workbook tab 2. Diagnostics Log | If EVG1010 is ever amended, Ethan's Form 8615 must be recomputed and his return amended.</t>
        </is>
      </c>
    </row>
    <row r="15">
      <c r="A15" s="70" t="inlineStr">
        <is>
          <t>EVG1021</t>
        </is>
      </c>
      <c r="B15" s="70" t="n">
        <v>2025</v>
      </c>
      <c r="C15" s="70" t="inlineStr">
        <is>
          <t>none fired</t>
        </is>
      </c>
      <c r="D15" s="70" t="inlineStr">
        <is>
          <t>[No diagnostic - logged by preparer] 'Can be claimed as a dependent' box - dependent standard deduction $3,650</t>
        </is>
      </c>
      <c r="E15" s="70" t="inlineStr">
        <is>
          <t>Other</t>
        </is>
      </c>
      <c r="F15" s="70" t="inlineStr">
        <is>
          <t>No</t>
        </is>
      </c>
      <c r="G15" s="70" t="inlineStr">
        <is>
          <t>General &gt; Basic Data: check 'Taxpayer can be claimed as a dependent'. Standard deduction = greater of $1,350 or earned income $3,200 + $450 = $3,650; taxable income $5,950.</t>
        </is>
      </c>
      <c r="H15" s="5" t="n">
        <v>3650</v>
      </c>
      <c r="I15" s="70" t="inlineStr">
        <is>
          <t>Signed Off</t>
        </is>
      </c>
      <c r="J15" s="70" t="inlineStr">
        <is>
          <t>Staff preparer</t>
        </is>
      </c>
      <c r="K15" s="70" t="inlineStr">
        <is>
          <t>M. Okafor (senior)</t>
        </is>
      </c>
      <c r="L15" s="70" t="inlineStr">
        <is>
          <t>EVG1021-SX2 | Workbook tab 2. Diagnostics Log</t>
        </is>
      </c>
    </row>
    <row r="16">
      <c r="A16" s="57" t="inlineStr">
        <is>
          <t>EVG1021</t>
        </is>
      </c>
      <c r="B16" s="57" t="n">
        <v>2025</v>
      </c>
      <c r="C16" s="57" t="inlineStr">
        <is>
          <t>none fired</t>
        </is>
      </c>
      <c r="D16" s="57" t="inlineStr">
        <is>
          <t>[No diagnostic - logged by preparer] Form 8814 rolled forward on the parents' return although Ethan no longer qualifies</t>
        </is>
      </c>
      <c r="E16" s="57" t="inlineStr">
        <is>
          <t>Other</t>
        </is>
      </c>
      <c r="F16" s="57" t="inlineStr">
        <is>
          <t>No</t>
        </is>
      </c>
      <c r="G16" s="57" t="inlineStr">
        <is>
          <t>EVG1010: delete Ethan's Form 8814 input (keep Chloe's). Set up EVG1021 as its own client/return: unearned income $6,400 (interest $900 + dividends $2,400 + LTCG $3,100) &gt; $2,700 -&gt; Form 8615 on Ethan's own 1040.</t>
        </is>
      </c>
      <c r="H16" s="3" t="n">
        <v>6400</v>
      </c>
      <c r="I16" s="57" t="inlineStr">
        <is>
          <t>Signed Off</t>
        </is>
      </c>
      <c r="J16" s="57" t="inlineStr">
        <is>
          <t>Staff preparer</t>
        </is>
      </c>
      <c r="K16" s="57" t="inlineStr">
        <is>
          <t>M. Okafor (senior)</t>
        </is>
      </c>
      <c r="L16" s="57" t="inlineStr">
        <is>
          <t>EVG1021-SX3 | Workbook tab 2. Diagnostics Log</t>
        </is>
      </c>
    </row>
    <row r="17">
      <c r="A17" s="70" t="n"/>
      <c r="B17" s="70" t="n"/>
      <c r="C17" s="70" t="n"/>
      <c r="D17" s="70" t="n"/>
      <c r="E17" s="70" t="n"/>
      <c r="F17" s="70" t="n"/>
      <c r="G17" s="70" t="n"/>
      <c r="H17" s="5" t="n"/>
      <c r="I17" s="70" t="n"/>
      <c r="J17" s="70" t="n"/>
      <c r="K17" s="70" t="n"/>
      <c r="L17" s="70" t="n"/>
    </row>
    <row r="18">
      <c r="A18" s="57" t="n"/>
      <c r="B18" s="57" t="n"/>
      <c r="C18" s="57" t="n"/>
      <c r="D18" s="57" t="n"/>
      <c r="E18" s="57" t="n"/>
      <c r="F18" s="57" t="n"/>
      <c r="G18" s="57" t="n"/>
      <c r="H18" s="3" t="n"/>
      <c r="I18" s="57" t="n"/>
      <c r="J18" s="57" t="n"/>
      <c r="K18" s="57" t="n"/>
      <c r="L18" s="57" t="n"/>
    </row>
    <row r="19">
      <c r="A19" s="70" t="n"/>
      <c r="B19" s="70" t="n"/>
      <c r="C19" s="70" t="n"/>
      <c r="D19" s="70" t="n"/>
      <c r="E19" s="70" t="n"/>
      <c r="F19" s="70" t="n"/>
      <c r="G19" s="70" t="n"/>
      <c r="H19" s="5" t="n"/>
      <c r="I19" s="70" t="n"/>
      <c r="J19" s="70" t="n"/>
      <c r="K19" s="70" t="n"/>
      <c r="L19" s="70" t="n"/>
    </row>
    <row r="20">
      <c r="A20" s="57" t="n"/>
      <c r="B20" s="57" t="n"/>
      <c r="C20" s="57" t="n"/>
      <c r="D20" s="57" t="n"/>
      <c r="E20" s="57" t="n"/>
      <c r="F20" s="57" t="n"/>
      <c r="G20" s="57" t="n"/>
      <c r="H20" s="3" t="n"/>
      <c r="I20" s="57" t="n"/>
      <c r="J20" s="57" t="n"/>
      <c r="K20" s="57" t="n"/>
      <c r="L20" s="57" t="n"/>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n"/>
      <c r="B13" s="57" t="n"/>
      <c r="C13" s="3" t="n"/>
      <c r="D13" s="3" t="n"/>
      <c r="E13" s="3">
        <f>C13-D13</f>
        <v/>
      </c>
      <c r="F13" s="57" t="n"/>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n"/>
      <c r="B12" s="3" t="n"/>
      <c r="C12" s="3" t="n"/>
      <c r="D12" s="12">
        <f>IF(B12=0,0,C12/B12)</f>
        <v/>
      </c>
      <c r="E12" s="3" t="n"/>
      <c r="F12" s="3">
        <f>MIN(E12,G12*D12)</f>
        <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c r="F14" s="57" t="n"/>
    </row>
    <row r="15" ht="25.5" customHeight="1">
      <c r="A15" s="71" t="inlineStr">
        <is>
          <t>Prior-Year Tax</t>
        </is>
      </c>
      <c r="B15" s="97" t="n"/>
      <c r="C15" s="97" t="n"/>
      <c r="D15" s="96" t="n"/>
      <c r="E15" s="5" t="n"/>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c r="D25" s="57" t="n"/>
      <c r="E25" s="3">
        <f>MAX(0,B25-C25)</f>
        <v/>
      </c>
      <c r="F25" s="57" t="n"/>
    </row>
    <row r="26">
      <c r="A26" s="70" t="inlineStr">
        <is>
          <t>Q2 (6/15)</t>
        </is>
      </c>
      <c r="B26" s="5">
        <f>$E$18*0.25</f>
        <v/>
      </c>
      <c r="C26" s="5" t="n"/>
      <c r="D26" s="70" t="n"/>
      <c r="E26" s="5">
        <f>MAX(0,B26-C26)</f>
        <v/>
      </c>
      <c r="F26" s="70" t="n"/>
    </row>
    <row r="27">
      <c r="A27" s="57" t="inlineStr">
        <is>
          <t>Q3 (9/15)</t>
        </is>
      </c>
      <c r="B27" s="3">
        <f>$E$18*0.25</f>
        <v/>
      </c>
      <c r="C27" s="3" t="n"/>
      <c r="D27" s="57" t="n"/>
      <c r="E27" s="3">
        <f>MAX(0,B27-C27)</f>
        <v/>
      </c>
      <c r="F27" s="57" t="n"/>
    </row>
    <row r="28">
      <c r="A28" s="70" t="inlineStr">
        <is>
          <t>Q4 (1/15 following yr)</t>
        </is>
      </c>
      <c r="B28" s="5">
        <f>$E$18*0.25</f>
        <v/>
      </c>
      <c r="C28" s="5" t="n"/>
      <c r="D28" s="70" t="n"/>
      <c r="E28" s="5">
        <f>MAX(0,B28-C28)</f>
        <v/>
      </c>
      <c r="F28" s="70" t="n"/>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n"/>
      <c r="B11" s="3" t="n"/>
      <c r="C11" s="3" t="n"/>
      <c r="D11" s="3" t="n"/>
      <c r="E11" s="3" t="n"/>
      <c r="F11" s="3" t="n"/>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n"/>
      <c r="B12" s="3" t="n"/>
      <c r="C12" s="3" t="n"/>
      <c r="D12" s="3">
        <f>B12+C12</f>
        <v/>
      </c>
      <c r="E12" s="3" t="n"/>
      <c r="F12" s="3" t="n"/>
      <c r="G12" s="3" t="n"/>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n"/>
      <c r="B11" s="6" t="n"/>
      <c r="C11" s="6" t="n"/>
      <c r="D11" s="7" t="n"/>
      <c r="E11" s="6" t="n"/>
      <c r="F11" s="6" t="n"/>
    </row>
    <row r="12">
      <c r="A12" s="8" t="n"/>
      <c r="B12" s="8" t="n"/>
      <c r="C12" s="8" t="n"/>
      <c r="D12" s="9" t="n"/>
      <c r="E12" s="8" t="n"/>
      <c r="F12" s="8" t="n"/>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2026-10-12T16:23:00Z</dcterms:modified>
  <cp:lastModifiedBy>Shane Kennedy</cp:lastModifiedBy>
  <cp:revision>0</cp:revision>
</cp:coreProperties>
</file>