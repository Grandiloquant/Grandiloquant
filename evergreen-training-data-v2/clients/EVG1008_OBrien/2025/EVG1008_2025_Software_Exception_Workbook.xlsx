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EVG1008 - Kevin &amp; Samantha O'Brien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EVG1008-SX1</t>
        </is>
      </c>
      <c r="B4" s="100" t="inlineStr">
        <is>
          <t>2. Diagnostics Log</t>
        </is>
      </c>
      <c r="C4" s="100" t="inlineStr">
        <is>
          <t>Duplex Form 1098 (box 8 = rental address) AutoFlowed to Schedule A; escrow summary imported as a second 1098</t>
        </is>
      </c>
      <c r="D4" s="100" t="inlineStr">
        <is>
          <t>If the 1098 is entered on the itemized-deduction mortgage screen it is deducted on Schedule A; ProConnect does not read box 8.</t>
        </is>
      </c>
      <c r="E4" s="100" t="inlineStr">
        <is>
          <t>Enter the interest and taxes on the Rental &amp; Royalty Income (Schedule E) screen for the duplex, not on the Schedule A mortgage interest screen (screen names per current release - verify).</t>
        </is>
      </c>
      <c r="F4" s="100" t="inlineStr">
        <is>
          <t>Screen names per current release - verify</t>
        </is>
      </c>
      <c r="G4" s="100" t="inlineStr">
        <is>
          <t>None</t>
        </is>
      </c>
      <c r="H4" s="100" t="n">
        <v>9860</v>
      </c>
    </row>
    <row r="5">
      <c r="A5" s="100" t="inlineStr">
        <is>
          <t>EVG1008-SX2</t>
        </is>
      </c>
      <c r="B5" s="100" t="inlineStr">
        <is>
          <t>2. Diagnostics Log</t>
        </is>
      </c>
      <c r="C5" s="100" t="inlineStr">
        <is>
          <t>Roof coded 'Repairs' in the client ledger; water heater de minimis; window repair</t>
        </is>
      </c>
      <c r="D5" s="100" t="inlineStr">
        <is>
          <t>Same - expenses entered as repairs are deducted; capitalization is a preparer determination.</t>
        </is>
      </c>
      <c r="E5" s="100" t="inlineStr">
        <is>
          <t>Add the roof as a residential rental asset on the property's depreciation screen (27.5-yr, 06/2025); generate the de minimis election statement (screen/field per current release - verify).</t>
        </is>
      </c>
      <c r="F5" s="100" t="inlineStr">
        <is>
          <t>Screen/field per current release - verify</t>
        </is>
      </c>
      <c r="G5" s="100" t="inlineStr">
        <is>
          <t>De minimis election statement attached</t>
        </is>
      </c>
      <c r="H5" s="100" t="n">
        <v>276</v>
      </c>
    </row>
    <row r="6">
      <c r="A6" s="100" t="inlineStr">
        <is>
          <t>EVG1008-SX3</t>
        </is>
      </c>
      <c r="B6" s="100" t="inlineStr">
        <is>
          <t>5. Passive Activity (8582)</t>
        </is>
      </c>
      <c r="C6" s="100" t="inlineStr">
        <is>
          <t>Form 8582: PY unallowed loss $6,200 not on the organizer; $25,000 allowance fully phased out</t>
        </is>
      </c>
      <c r="D6" s="100" t="inlineStr">
        <is>
          <t>Same - ProConnect uses the prior-year unallowed losses entered on the rental's Passive Losses tab.</t>
        </is>
      </c>
      <c r="E6" s="100" t="inlineStr">
        <is>
          <t>Rental &amp; Royalty Income &gt; Passive Losses tab: prior-year unallowed losses - Regular $6,200 and AMT $6,200 (enter both). Form 8582 generates automatically (or force: 1 = when applicable, 2 = force).</t>
        </is>
      </c>
      <c r="F6" s="100" t="inlineStr">
        <is>
          <t>Intuit help: 'How to generate Form 8582 in ProConnect Tax'; community thread on prior years' unallowed losses</t>
        </is>
      </c>
      <c r="G6" s="100" t="inlineStr">
        <is>
          <t>None</t>
        </is>
      </c>
      <c r="H6" s="100" t="n">
        <v>9407</v>
      </c>
    </row>
    <row r="7">
      <c r="A7" s="100" t="inlineStr">
        <is>
          <t>EVG1008-SX4</t>
        </is>
      </c>
      <c r="B7" s="100" t="inlineStr">
        <is>
          <t>16. Vacation Home Allocation</t>
        </is>
      </c>
      <c r="C7" s="100" t="inlineStr">
        <is>
          <t>Cabin - sec. 280A residence: personal days must include the brother's free stay</t>
        </is>
      </c>
      <c r="D7" s="100" t="inlineStr">
        <is>
          <t>Same - the vacation home limitation is computed from the days entered on the rental screen.</t>
        </is>
      </c>
      <c r="E7" s="100" t="inlineStr">
        <is>
          <t>Rental &amp; Royalty Income: days rented at fair rental 62; personal use days 21; vacation home limitation applies (IRS method). Check the carryover of operating expenses and depreciation (screen/field per current release - verify).</t>
        </is>
      </c>
      <c r="F7" s="100" t="inlineStr">
        <is>
          <t>Screen/field per current release - verify</t>
        </is>
      </c>
      <c r="G7" s="100" t="inlineStr">
        <is>
          <t>None</t>
        </is>
      </c>
      <c r="H7" s="100" t="n">
        <v>0</v>
      </c>
    </row>
    <row r="8">
      <c r="A8" s="100" t="inlineStr">
        <is>
          <t>EVG1008-SX5</t>
        </is>
      </c>
      <c r="B8" s="100" t="inlineStr">
        <is>
          <t>2. Diagnostics Log</t>
        </is>
      </c>
      <c r="C8" s="100" t="inlineStr">
        <is>
          <t>PA-40: compensation from W-2 box 16 (401k/403b taxable) and rents loss stays in its class</t>
        </is>
      </c>
      <c r="D8" s="100" t="inlineStr">
        <is>
          <t>Same - PA compensation follows the state wages entered on the W-2 screen.</t>
        </is>
      </c>
      <c r="E8" s="100" t="inlineStr">
        <is>
          <t>W-2 screen: PA state wages = box 16; PA return rents class shows the loss with no offset (screen/field per current release - verify).</t>
        </is>
      </c>
      <c r="F8" s="100" t="inlineStr">
        <is>
          <t>Screen/field per current release - verify</t>
        </is>
      </c>
      <c r="G8" s="100" t="inlineStr">
        <is>
          <t>PA-40 e-filed with the federal return</t>
        </is>
      </c>
      <c r="H8" s="100" t="n">
        <v>189300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EVG1008</t>
        </is>
      </c>
      <c r="B14" s="57" t="n">
        <v>2025</v>
      </c>
      <c r="C14" s="57" t="inlineStr">
        <is>
          <t>none fired</t>
        </is>
      </c>
      <c r="D14" s="57" t="inlineStr">
        <is>
          <t>[No diagnostic - logged by preparer] Duplex Form 1098 (box 8 = rental address) AutoFlowed to Schedule A; escrow summary imported as a second 1098</t>
        </is>
      </c>
      <c r="E14" s="57" t="inlineStr">
        <is>
          <t>Other</t>
        </is>
      </c>
      <c r="F14" s="57" t="inlineStr">
        <is>
          <t>No</t>
        </is>
      </c>
      <c r="G14" s="57" t="inlineStr">
        <is>
          <t>Delete the Schedule A 1098 entries for the duplex and the escrow-summary record. Rental (Schedule E) Property A: mortgage interest $9,860 (line 12), taxes $5,420 (line 16). Itemized $26,545 &lt; standard $31,500 -&gt; standard.</t>
        </is>
      </c>
      <c r="H14" s="3" t="n">
        <v>9860</v>
      </c>
      <c r="I14" s="57" t="inlineStr">
        <is>
          <t>Signed Off</t>
        </is>
      </c>
      <c r="J14" s="57" t="inlineStr">
        <is>
          <t>A. Brennan (staff)</t>
        </is>
      </c>
      <c r="K14" s="57" t="inlineStr">
        <is>
          <t>L. Chen (senior)</t>
        </is>
      </c>
      <c r="L14" s="57" t="inlineStr">
        <is>
          <t>EVG1008-SX1 | Workbook tab 2. Diagnostics Log | Box 7 'No' (not the borrower's residence) and box 8 address are the tells.</t>
        </is>
      </c>
    </row>
    <row r="15">
      <c r="A15" s="70" t="inlineStr">
        <is>
          <t>EVG1008</t>
        </is>
      </c>
      <c r="B15" s="70" t="n">
        <v>2025</v>
      </c>
      <c r="C15" s="70" t="inlineStr">
        <is>
          <t>none fired</t>
        </is>
      </c>
      <c r="D15" s="70" t="inlineStr">
        <is>
          <t>[No diagnostic - logged by preparer] Roof coded 'Repairs' in the client ledger; water heater de minimis; window repair</t>
        </is>
      </c>
      <c r="E15" s="70" t="inlineStr">
        <is>
          <t>Depreciation</t>
        </is>
      </c>
      <c r="F15" s="70" t="inlineStr">
        <is>
          <t>No</t>
        </is>
      </c>
      <c r="G15" s="70" t="inlineStr">
        <is>
          <t>Depreciation (Form 4562) for Property A: add 'Roof replacement' 06/2025, $14,000, residential rental 27.5-yr SL mid-month -&gt; $276. Remove it from repairs. Water heater $1,900 on line 19 with the Reg. 1.263(a)-1(f) election statement (General &gt; Elections / statement - verify); window $450 stays a repair. Small-taxpayer safe harbor not available (&gt; 2% of $265,000 UBB).</t>
        </is>
      </c>
      <c r="H15" s="5" t="n">
        <v>276</v>
      </c>
      <c r="I15" s="70" t="inlineStr">
        <is>
          <t>Signed Off</t>
        </is>
      </c>
      <c r="J15" s="70" t="inlineStr">
        <is>
          <t>A. Brennan (staff)</t>
        </is>
      </c>
      <c r="K15" s="70" t="inlineStr">
        <is>
          <t>L. Chen (senior)</t>
        </is>
      </c>
      <c r="L15" s="70" t="inlineStr">
        <is>
          <t>EVG1008-SX2 | Workbook tab 2. Diagnostics Log | Loss is suspended either way, but the basis and the suspended-loss carryforward would be wrong.</t>
        </is>
      </c>
    </row>
    <row r="16">
      <c r="A16" s="57" t="inlineStr">
        <is>
          <t>EVG1008</t>
        </is>
      </c>
      <c r="B16" s="57" t="n">
        <v>2025</v>
      </c>
      <c r="C16" s="57" t="inlineStr">
        <is>
          <t>none fired</t>
        </is>
      </c>
      <c r="D16" s="57" t="inlineStr">
        <is>
          <t>[No diagnostic - logged by preparer] Form 8582: PY unallowed loss $6,200 not on the organizer; $25,000 allowance fully phased out</t>
        </is>
      </c>
      <c r="E16" s="57" t="inlineStr">
        <is>
          <t>Basis/At-Risk/Passive</t>
        </is>
      </c>
      <c r="F16" s="57" t="inlineStr">
        <is>
          <t>Yes</t>
        </is>
      </c>
      <c r="G16" s="57" t="inlineStr">
        <is>
          <t>Rental (Schedule E) Property A &gt; passive carryover input: prior-year unallowed loss (regular) $6,200 per the 2024 Form 8582 / PERM (verify AMT carryover - same amount, no AMT preferences). MAGI $171,682 &gt; $150,000 -&gt; special allowance $0; 2025 loss ($3,207) also suspended -&gt; $9,407 to 2026.</t>
        </is>
      </c>
      <c r="H16" s="3" t="n">
        <v>9407</v>
      </c>
      <c r="I16" s="57" t="inlineStr">
        <is>
          <t>Signed Off</t>
        </is>
      </c>
      <c r="J16" s="57" t="inlineStr">
        <is>
          <t>A. Brennan (staff)</t>
        </is>
      </c>
      <c r="K16" s="57" t="inlineStr">
        <is>
          <t>L. Chen (senior)</t>
        </is>
      </c>
      <c r="L16" s="57" t="inlineStr">
        <is>
          <t>EVG1008-SX3 | Workbook tab 5. Passive Activity (8582) | The 9,407 carryforward is not listed in the answer key's carryforwards_to_2026 block (only in the gotchas/notes).</t>
        </is>
      </c>
    </row>
    <row r="17">
      <c r="A17" s="70" t="inlineStr">
        <is>
          <t>EVG1008</t>
        </is>
      </c>
      <c r="B17" s="70" t="n">
        <v>2025</v>
      </c>
      <c r="C17" s="70" t="inlineStr">
        <is>
          <t>none fired</t>
        </is>
      </c>
      <c r="D17" s="70" t="inlineStr">
        <is>
          <t>[No diagnostic - logged by preparer] Cabin - sec. 280A residence: personal days must include the brother's free stay</t>
        </is>
      </c>
      <c r="E17" s="70" t="inlineStr">
        <is>
          <t>Basis/At-Risk/Passive</t>
        </is>
      </c>
      <c r="F17" s="70" t="inlineStr">
        <is>
          <t>Yes</t>
        </is>
      </c>
      <c r="G17" s="70" t="inlineStr">
        <is>
          <t>Rental (Schedule E) Property B: type 1 (single family / vacation), fair rental days 62, personal use days 21 (18 family + 3 brother; 10/11-10/12 repair weekend excluded). IRS method 62/83 = 74.70%; rental income limit applies (Pub. 527 Worksheet 5-1): interest $6,200 + taxes $2,480 + direct $2,430 -&gt; operating $3,770 of $4,030 -&gt; depreciation $0 of $4,244. Net $0; carry forward operating $260 + depreciation $4,244. Personal share of interest $2,100 / taxes $840 to the Schedule A worksheet.</t>
        </is>
      </c>
      <c r="H17" s="5" t="n">
        <v>0</v>
      </c>
      <c r="I17" s="70" t="inlineStr">
        <is>
          <t>Signed Off</t>
        </is>
      </c>
      <c r="J17" s="70" t="inlineStr">
        <is>
          <t>A. Brennan (staff)</t>
        </is>
      </c>
      <c r="K17" s="70" t="inlineStr">
        <is>
          <t>L. Chen (senior)</t>
        </is>
      </c>
      <c r="L17" s="70" t="inlineStr">
        <is>
          <t>EVG1008-SX4 | Workbook tab 16. Vacation Home Allocation | Bolton method (interest/taxes x 62/365) would free more operating expense; IRS method used per firm procedure - no 2025 tax difference (standard deduction). Not a passive activity (sec. 469(j)(10)) - no 8582 for the cabin.</t>
        </is>
      </c>
    </row>
    <row r="18">
      <c r="A18" s="57" t="inlineStr">
        <is>
          <t>EVG1008</t>
        </is>
      </c>
      <c r="B18" s="57" t="n">
        <v>2025</v>
      </c>
      <c r="C18" s="57" t="inlineStr">
        <is>
          <t>none fired</t>
        </is>
      </c>
      <c r="D18" s="57" t="inlineStr">
        <is>
          <t>[No diagnostic - logged by preparer] PA-40: compensation from W-2 box 16 (401k/403b taxable) and rents loss stays in its class</t>
        </is>
      </c>
      <c r="E18" s="57" t="inlineStr">
        <is>
          <t>State Allocation</t>
        </is>
      </c>
      <c r="F18" s="57" t="inlineStr">
        <is>
          <t>No</t>
        </is>
      </c>
      <c r="G18" s="57" t="inlineStr">
        <is>
          <t>W-2 inputs: PA state wages (box 16) $189,300 combined. PA rents class: duplex ($3,207) + cabin (PA - no sec. 280A limit assumed) = loss ($7,711) - not netted against compensation (PA Schedule E / class-netting input - verify). PA taxable income $189,682 x 3.07% = $5,823; withheld $5,812 -&gt; due $11.</t>
        </is>
      </c>
      <c r="H18" s="3" t="n">
        <v>189300</v>
      </c>
      <c r="I18" s="57" t="inlineStr">
        <is>
          <t>Signed Off</t>
        </is>
      </c>
      <c r="J18" s="57" t="inlineStr">
        <is>
          <t>A. Brennan (staff)</t>
        </is>
      </c>
      <c r="K18" s="57" t="inlineStr">
        <is>
          <t>L. Chen (senior)</t>
        </is>
      </c>
      <c r="L18" s="57" t="inlineStr">
        <is>
          <t>EVG1008-SX5 | Workbook tab 2. Diagnostics Log | Local Manheim Twp EIT final return filed separately with LCTCB (not in either package's 1040 workflow).</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inlineStr">
        <is>
          <t>Duplex - 128-130 Chestnut Row, Lancaster (Property A)</t>
        </is>
      </c>
      <c r="B13" s="57" t="inlineStr">
        <is>
          <t>Y</t>
        </is>
      </c>
      <c r="C13" s="3" t="n">
        <v>9407</v>
      </c>
      <c r="D13" s="3" t="n">
        <v>0</v>
      </c>
      <c r="E13" s="3">
        <f>C13-D13</f>
        <v/>
      </c>
      <c r="F13" s="57" t="inlineStr">
        <is>
          <t>2025 loss 3,207 + PY unallowed 6,200 (2024 Form 8582 / PERM). MAGI 171,682 -&gt; special allowance 0 -&gt; all 9,407 suspended to 2026.</t>
        </is>
      </c>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v>171682</v>
      </c>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inlineStr">
        <is>
          <t>Cabin 27 Blue Heron Ln - mortgage interest (1098)</t>
        </is>
      </c>
      <c r="B12" s="3" t="n">
        <v>21</v>
      </c>
      <c r="C12" s="3" t="n">
        <v>62</v>
      </c>
      <c r="D12" s="3">
        <f>IF(C12=0,0,C12/365)</f>
        <v/>
      </c>
      <c r="E12" s="3">
        <f>IF((B12+C12)=0,0,C12/(B12+C12))</f>
        <v/>
      </c>
      <c r="F12" s="3" t="n">
        <v>8300</v>
      </c>
      <c r="G12" s="3" t="inlineStr">
        <is>
          <t>IRS method 62/83 -&gt; rental 6,200 (Sch E 12); personal 2,100 to Sch A worksheet (standard deduction used).</t>
        </is>
      </c>
    </row>
    <row r="13">
      <c r="A13" s="70" t="inlineStr">
        <is>
          <t>Cabin - real estate taxes</t>
        </is>
      </c>
      <c r="B13" s="5" t="n">
        <v>21</v>
      </c>
      <c r="C13" s="5" t="n">
        <v>62</v>
      </c>
      <c r="D13" s="5">
        <f>IF(C13=0,0,C13/365)</f>
        <v/>
      </c>
      <c r="E13" s="5">
        <f>IF((B13+C13)=0,0,C13/(B13+C13))</f>
        <v/>
      </c>
      <c r="F13" s="5" t="n">
        <v>3320</v>
      </c>
      <c r="G13" s="5" t="inlineStr">
        <is>
          <t>IRS method -&gt; rental 2,480 (Sch E 16); personal 840.</t>
        </is>
      </c>
    </row>
    <row r="14">
      <c r="A14" s="57" t="inlineStr">
        <is>
          <t>Cabin - operating (utilities 2,490, insurance 1,660, repairs 830, supplies 415)</t>
        </is>
      </c>
      <c r="B14" s="3" t="n">
        <v>21</v>
      </c>
      <c r="C14" s="3" t="n">
        <v>62</v>
      </c>
      <c r="D14" s="3">
        <f>IF(C14=0,0,C14/365)</f>
        <v/>
      </c>
      <c r="E14" s="3">
        <f>IF((B14+C14)=0,0,C14/(B14+C14))</f>
        <v/>
      </c>
      <c r="F14" s="3" t="n">
        <v>5395</v>
      </c>
      <c r="G14" s="3" t="inlineStr">
        <is>
          <t>Rental share 4,030; allowed 3,770 (income limit); carryover 260.</t>
        </is>
      </c>
    </row>
    <row r="15">
      <c r="A15" s="70" t="inlineStr">
        <is>
          <t>Cabin - depreciation (MACRS 27.5 SL MM, $250,000 bldg, PIS 05/2025, full amount 5,682)</t>
        </is>
      </c>
      <c r="B15" s="5" t="n">
        <v>21</v>
      </c>
      <c r="C15" s="5" t="n">
        <v>62</v>
      </c>
      <c r="D15" s="5">
        <f>IF(C15=0,0,C15/365)</f>
        <v/>
      </c>
      <c r="E15" s="5">
        <f>IF((B15+C15)=0,0,C15/(B15+C15))</f>
        <v/>
      </c>
      <c r="F15" s="5" t="n">
        <v>5682</v>
      </c>
      <c r="G15" s="5" t="inlineStr">
        <is>
          <t>Rental share 4,244; allowed 0; carryover 4,244 (sec. 280A(c)(5)). VRBO fees 1,190 + guest cleaning 1,240 are 100% rental (not allocated). Net Schedule E 0.</t>
        </is>
      </c>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2026-10-12T16:22:55Z</dcterms:modified>
  <cp:lastModifiedBy>Shane Kennedy</cp:lastModifiedBy>
  <cp:revision>0</cp:revision>
</cp:coreProperties>
</file>